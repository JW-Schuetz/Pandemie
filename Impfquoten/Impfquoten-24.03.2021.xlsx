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defaultThemeVersion="124226"/>
  <mc:AlternateContent xmlns:mc="http://schemas.openxmlformats.org/markup-compatibility/2006">
    <mc:Choice Requires="x15">
      <x15ac:absPath xmlns:x15ac="http://schemas.microsoft.com/office/spreadsheetml/2010/11/ac" url="D:\Projekte\Pandemie\Impfquoten\"/>
    </mc:Choice>
  </mc:AlternateContent>
  <xr:revisionPtr revIDLastSave="0" documentId="8_{A72DC8E9-8141-4173-9A8D-AF1FDA0B2C51}" xr6:coauthVersionLast="46" xr6:coauthVersionMax="46" xr10:uidLastSave="{00000000-0000-0000-0000-000000000000}"/>
  <bookViews>
    <workbookView xWindow="833" yWindow="-98" windowWidth="18465" windowHeight="10996" tabRatio="597" activeTab="1" xr2:uid="{00000000-000D-0000-FFFF-FFFF00000000}"/>
  </bookViews>
  <sheets>
    <sheet name="Erläuterung" sheetId="9" r:id="rId1"/>
    <sheet name="Gesamt_bis_einschl_24.03.21" sheetId="12" r:id="rId2"/>
    <sheet name="Indik_bis_einschl_24.03.21" sheetId="11" r:id="rId3"/>
    <sheet name="Impfungen_proTag" sheetId="10" r:id="rId4"/>
  </sheets>
  <definedNames>
    <definedName name="Bundesländer001" localSheetId="1">Gesamt_bis_einschl_24.03.21!#REF!</definedName>
    <definedName name="Bundesländer001" localSheetId="2">Indik_bis_einschl_24.03.21!$G$2:$J$18</definedName>
    <definedName name="Bundesländer001_1" localSheetId="1">Gesamt_bis_einschl_24.03.21!$D$3:$H$19</definedName>
    <definedName name="Bundesländer001_1" localSheetId="2">Indik_bis_einschl_24.03.21!$C$2:$F$18</definedName>
  </definedNames>
  <calcPr calcId="191029"/>
</workbook>
</file>

<file path=xl/calcChain.xml><?xml version="1.0" encoding="utf-8"?>
<calcChain xmlns="http://schemas.openxmlformats.org/spreadsheetml/2006/main">
  <c r="D93" i="10" l="1"/>
  <c r="C93" i="10" l="1"/>
  <c r="C95" i="10" s="1"/>
  <c r="B93" i="10"/>
  <c r="B95" i="10" s="1"/>
  <c r="D94" i="10" l="1"/>
  <c r="D95" i="10"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91639B-43B3-4AF5-9A86-6C4D7AC08510}" name="Verbindung6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 id="2" xr16:uid="{18EB2F1A-F374-4A93-B2AB-41BDA6BDCE3B}" name="Verbindung61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 id="3" xr16:uid="{D56FCA20-8C07-4C18-A30B-049C6A8B7F56}" name="Verbindung62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s>
</file>

<file path=xl/sharedStrings.xml><?xml version="1.0" encoding="utf-8"?>
<sst xmlns="http://schemas.openxmlformats.org/spreadsheetml/2006/main" count="127" uniqueCount="72">
  <si>
    <t>Bayern</t>
  </si>
  <si>
    <t>Baden-Württemberg</t>
  </si>
  <si>
    <t>Brandenburg</t>
  </si>
  <si>
    <t>Berlin</t>
  </si>
  <si>
    <t>Bremen</t>
  </si>
  <si>
    <t>Hamburg</t>
  </si>
  <si>
    <t>Mecklenburg-Vorpommern</t>
  </si>
  <si>
    <t>Niedersachsen</t>
  </si>
  <si>
    <t>Nordrhein-Westfalen</t>
  </si>
  <si>
    <t>Sachsen</t>
  </si>
  <si>
    <t>Sachsen-Anhalt</t>
  </si>
  <si>
    <t>Schleswig-Holstein</t>
  </si>
  <si>
    <t>Rheinland-Pfalz</t>
  </si>
  <si>
    <t>Saarland</t>
  </si>
  <si>
    <t>Thüringen</t>
  </si>
  <si>
    <t>Hessen</t>
  </si>
  <si>
    <t>Bundesland</t>
  </si>
  <si>
    <t>Differenz zum Vortag</t>
  </si>
  <si>
    <t/>
  </si>
  <si>
    <t>Gesamt</t>
  </si>
  <si>
    <t>Impfungen kumulativ</t>
  </si>
  <si>
    <t xml:space="preserve">Die Impfquote ist der Anteil aller bisher Geimpften in der Gesamtbevölkerung. </t>
  </si>
  <si>
    <t>Für die Berechnung der Impfquote wurde der Bevölkerungsstand vom 31.12.2019 zugrunde gelegt (Quelle: Statistisches Bundesamt, https://www.destatis.de/DE/Themen/Gesellschaft-Umwelt/Bevoelkerung/Bevoelkerungsstand/Tabellen/bevoelkerung-nichtdeutsch-laender.html).</t>
  </si>
  <si>
    <t>Indikation nach Alter*</t>
  </si>
  <si>
    <t>Berufliche Indikation*</t>
  </si>
  <si>
    <t>Medizinische Indikation*</t>
  </si>
  <si>
    <t>Pflegeheim-bewohnerIn*</t>
  </si>
  <si>
    <t>Anmerkung zu den Indikationen: Es können mehrere Indikationen je geimpfter Person vorliegen.</t>
  </si>
  <si>
    <t>* In einigen Bundesländern werden nicht alle der in der Tabelle aufgeführten Indikationen einzeln ausgewiesen.</t>
  </si>
  <si>
    <t>Datum</t>
  </si>
  <si>
    <t xml:space="preserve"> </t>
  </si>
  <si>
    <t>Durchgeführte Impfungen bundesweit nach Tag der Impfung (Impfungen_proTag)</t>
  </si>
  <si>
    <t>In der Tabelle sind die für jeden Impftag an das RKI gemeldeten Impfungen dargestellt. Nachmeldungen aus zurückliegenden Tagen werden rückwirkend für den jeweiligen Impftag nachgetragen.</t>
  </si>
  <si>
    <t>08</t>
  </si>
  <si>
    <t>09</t>
  </si>
  <si>
    <t>04</t>
  </si>
  <si>
    <t>02</t>
  </si>
  <si>
    <t>06</t>
  </si>
  <si>
    <t>03</t>
  </si>
  <si>
    <t>05</t>
  </si>
  <si>
    <t>07</t>
  </si>
  <si>
    <t>01</t>
  </si>
  <si>
    <t>RS</t>
  </si>
  <si>
    <t>RS: Regionalschlüssel eines jeden Bundeslandes (destatis, https://www.destatis.de/DE/Themen/Laender-Regionen/Regionales/Gemeindeverzeichnis/Administrativ/beschreibung-gebietseinheiten.pdf?__blob=publicationFile).</t>
  </si>
  <si>
    <t>Erstimpfung</t>
  </si>
  <si>
    <t>Zweitimpfung</t>
  </si>
  <si>
    <t>Moderna</t>
  </si>
  <si>
    <t>BioNTech</t>
  </si>
  <si>
    <t>Impf-quote, %</t>
  </si>
  <si>
    <t>Gesamtzahl bisher verabreichter Impfstoffdosen</t>
  </si>
  <si>
    <t>Digitales Impfquoten-Monitoring COVID-19 - Erläuterung</t>
  </si>
  <si>
    <t>Gesamtzahl verabreichter Impfstoffdosen</t>
  </si>
  <si>
    <t>Verfügbare Impfstoffe in Deutschland:</t>
  </si>
  <si>
    <t>BioNTech seit 26.12.2020</t>
  </si>
  <si>
    <t>Moderna seit 14.01.2021</t>
  </si>
  <si>
    <t>Anmerkung zu den Indikationen: Es können mehrere Indikationen je geimpfter Person vorliegen. In einigen Bundesländern werden nicht alle der in der Tabelle aufgeführten Indikationen einzeln ausgewiesen.</t>
  </si>
  <si>
    <t>AstraZeneca seit 08.02.2021</t>
  </si>
  <si>
    <t>AstraZeneca</t>
  </si>
  <si>
    <t>Bund *</t>
  </si>
  <si>
    <t>Bund **</t>
  </si>
  <si>
    <t>Gesamt (ohne Bund)</t>
  </si>
  <si>
    <t>Bund*</t>
  </si>
  <si>
    <t>*Die dem Bund zugeordneten Impfdaten liegen bisher nicht nach Impftag vor.</t>
  </si>
  <si>
    <t>** Impfungen, die in den bundeseigenen Impfzentren aus dem Impfkontingent des Bundes durchgeführt wurden. Diese gehen in die Berechnung der Impfquote für Gesamtdeutschland mit ein und umfassen nur Angehörige des Bundes, die nach §§ 2, 3 und 4 Coronavirus-Impfverordnung geimpft wurden. Die Zahlen werden unregelmäßig aktualisiert (letzte Aktualisierung: 16.03.2021).</t>
  </si>
  <si>
    <t>* Impfungen, die in den bundeseigenen Impfzentren aus dem Impfkontingent des Bundes durchgeführt wurden. Diese gehen in die Berechnung der Impfquote für Gesamtdeutschland mit ein und umfassen nur Angehörige des Bundes, die nach §§ 2, 3 und 4 Coronavirus-Impfverordnung geimpft wurden. Die Zahlen werden unregelmäßig aktualisiert (letzte Aktualisierung: 16.03.2021).</t>
  </si>
  <si>
    <t>Hessen ***</t>
  </si>
  <si>
    <t>*** Aufgrund einer Softwareumstellung werden für die Impftage 22.03.-25.03.2021 vom Land Hessen keine Impfdaten nach Indikation übermittelt.</t>
  </si>
  <si>
    <t>Datenstand: 25.03.2021, 8:00 Uhr</t>
  </si>
  <si>
    <t>Durchgeführte Impfungen bundesweit und nach Bundesland bis einschließlich 24.03.21 (Gesamt_bis_einschl_24.03.21)</t>
  </si>
  <si>
    <t xml:space="preserve">Die kumulative Zahl der Impfungen umfasst alle Impfungen, die bis einschließlich 24.03.21 durchgeführt und bis zum 25.03.21, 8:00 Uhr, dem RKI gemeldet wurden. Nachmeldungen und Datenkorrekturen aus zurückliegenden Tagen sind in der kumulativen Zahl der Impfungen enthalten. </t>
  </si>
  <si>
    <t>Anzahl Impfungen nach Indikation bis einschließlich 24.03.21 (Indik_bis_einschl_24.03.21)</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</si>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</sst>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3" x14ac:knownFonts="1">
    <font>
      <sz val="11"/>
      <color theme="1"/>
      <name val="Calibri"/>
      <family val="2"/>
      <scheme val="minor"/>
    </font>
    <font>
      <sz val="10"/>
      <color theme="1"/>
      <name val="Calibri"/>
      <family val="2"/>
      <scheme val="minor"/>
    </font>
    <font>
      <b/>
      <sz val="10"/>
      <color theme="1"/>
      <name val="Calibri"/>
      <family val="2"/>
      <scheme val="minor"/>
    </font>
    <font>
      <b/>
      <sz val="11"/>
      <color theme="1"/>
      <name val="Calibri"/>
      <family val="2"/>
      <scheme val="minor"/>
    </font>
    <font>
      <b/>
      <sz val="11"/>
      <color theme="0"/>
      <name val="Calibri"/>
      <family val="2"/>
      <scheme val="minor"/>
    </font>
    <font>
      <sz val="11"/>
      <name val="Calibri"/>
      <family val="2"/>
    </font>
    <font>
      <sz val="10"/>
      <color theme="1"/>
      <name val="Arial"/>
      <family val="2"/>
    </font>
    <font>
      <sz val="11"/>
      <name val="Calibri"/>
      <family val="2"/>
    </font>
    <font>
      <b/>
      <sz val="11"/>
      <name val="Calibri"/>
      <family val="2"/>
      <scheme val="minor"/>
    </font>
    <font>
      <sz val="11"/>
      <color rgb="FF1A1A1A"/>
      <name val="Calibri"/>
      <family val="2"/>
      <scheme val="minor"/>
    </font>
    <font>
      <sz val="10"/>
      <name val="Calibri"/>
      <family val="2"/>
      <scheme val="minor"/>
    </font>
    <font>
      <sz val="11"/>
      <color theme="1"/>
      <name val="Calibri"/>
      <family val="2"/>
      <scheme val="minor"/>
    </font>
    <font>
      <sz val="11"/>
      <name val="Calibri"/>
      <family val="2"/>
      <scheme val="minor"/>
    </font>
  </fonts>
  <fills count="9">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0"/>
        <bgColor indexed="64"/>
      </patternFill>
    </fill>
    <fill>
      <patternFill patternType="solid">
        <fgColor theme="0"/>
        <bgColor theme="4"/>
      </patternFill>
    </fill>
    <fill>
      <patternFill patternType="solid">
        <fgColor theme="0"/>
        <bgColor theme="4" tint="0.79998168889431442"/>
      </patternFill>
    </fill>
    <fill>
      <patternFill patternType="solid">
        <fgColor theme="3"/>
        <bgColor indexed="64"/>
      </patternFill>
    </fill>
    <fill>
      <patternFill patternType="solid">
        <fgColor theme="3" tint="0.79998168889431442"/>
        <bgColor indexed="64"/>
      </patternFill>
    </fill>
  </fills>
  <borders count="15">
    <border>
      <left/>
      <right/>
      <top/>
      <bottom/>
      <diagonal/>
    </border>
    <border>
      <left style="thin">
        <color theme="4" tint="0.39997558519241921"/>
      </left>
      <right style="thin">
        <color indexed="64"/>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theme="4" tint="0.39997558519241921"/>
      </bottom>
      <diagonal/>
    </border>
    <border>
      <left/>
      <right style="thin">
        <color indexed="64"/>
      </right>
      <top/>
      <bottom style="thin">
        <color theme="4" tint="0.39997558519241921"/>
      </bottom>
      <diagonal/>
    </border>
    <border>
      <left style="thin">
        <color indexed="64"/>
      </left>
      <right/>
      <top/>
      <bottom style="thin">
        <color theme="4" tint="0.39997558519241921"/>
      </bottom>
      <diagonal/>
    </border>
    <border>
      <left/>
      <right/>
      <top style="thin">
        <color theme="4" tint="0.39997558519241921"/>
      </top>
      <bottom/>
      <diagonal/>
    </border>
    <border>
      <left/>
      <right style="thin">
        <color indexed="64"/>
      </right>
      <top style="thin">
        <color theme="4" tint="0.39997558519241921"/>
      </top>
      <bottom/>
      <diagonal/>
    </border>
    <border>
      <left style="thin">
        <color indexed="64"/>
      </left>
      <right style="thin">
        <color indexed="64"/>
      </right>
      <top/>
      <bottom/>
      <diagonal/>
    </border>
    <border>
      <left style="thin">
        <color indexed="64"/>
      </left>
      <right style="thin">
        <color indexed="64"/>
      </right>
      <top/>
      <bottom style="thin">
        <color theme="4" tint="0.39997558519241921"/>
      </bottom>
      <diagonal/>
    </border>
    <border>
      <left style="thin">
        <color indexed="64"/>
      </left>
      <right style="thin">
        <color indexed="64"/>
      </right>
      <top style="thin">
        <color theme="4" tint="0.39997558519241921"/>
      </top>
      <bottom style="thin">
        <color theme="4" tint="0.39997558519241921"/>
      </bottom>
      <diagonal/>
    </border>
  </borders>
  <cellStyleXfs count="4">
    <xf numFmtId="0" fontId="0" fillId="0" borderId="0"/>
    <xf numFmtId="0" fontId="5" fillId="0" borderId="0"/>
    <xf numFmtId="0" fontId="7" fillId="0" borderId="0"/>
    <xf numFmtId="0" fontId="5" fillId="0" borderId="0"/>
  </cellStyleXfs>
  <cellXfs count="82">
    <xf numFmtId="0" fontId="0" fillId="0" borderId="0" xfId="0"/>
    <xf numFmtId="3" fontId="6" fillId="3" borderId="1" xfId="0" applyNumberFormat="1" applyFont="1" applyFill="1" applyBorder="1"/>
    <xf numFmtId="3" fontId="6" fillId="0" borderId="1" xfId="0" applyNumberFormat="1" applyFont="1" applyBorder="1"/>
    <xf numFmtId="14" fontId="0" fillId="0" borderId="0" xfId="0" applyNumberFormat="1"/>
    <xf numFmtId="20" fontId="0" fillId="0" borderId="0" xfId="0" applyNumberFormat="1" applyAlignment="1">
      <alignment horizontal="right"/>
    </xf>
    <xf numFmtId="0" fontId="0" fillId="0" borderId="0" xfId="0"/>
    <xf numFmtId="0" fontId="8" fillId="5" borderId="5" xfId="0" applyFont="1" applyFill="1" applyBorder="1" applyAlignment="1">
      <alignment horizontal="right" vertical="center" wrapText="1"/>
    </xf>
    <xf numFmtId="49" fontId="1" fillId="3" borderId="2" xfId="1" applyNumberFormat="1" applyFont="1" applyFill="1" applyBorder="1" applyAlignment="1">
      <alignment horizontal="left" vertical="center"/>
    </xf>
    <xf numFmtId="49" fontId="1" fillId="4" borderId="2" xfId="1" applyNumberFormat="1" applyFont="1" applyFill="1" applyBorder="1" applyAlignment="1">
      <alignment horizontal="left" vertical="center"/>
    </xf>
    <xf numFmtId="3" fontId="0" fillId="0" borderId="0" xfId="0" applyNumberFormat="1"/>
    <xf numFmtId="3" fontId="10" fillId="3" borderId="2" xfId="1" applyNumberFormat="1" applyFont="1" applyFill="1" applyBorder="1" applyAlignment="1">
      <alignment horizontal="right" vertical="center"/>
    </xf>
    <xf numFmtId="3" fontId="10" fillId="3" borderId="2" xfId="0" applyNumberFormat="1" applyFont="1" applyFill="1" applyBorder="1" applyAlignment="1">
      <alignment horizontal="right" vertical="center"/>
    </xf>
    <xf numFmtId="165" fontId="10" fillId="3" borderId="3" xfId="0" applyNumberFormat="1" applyFont="1" applyFill="1" applyBorder="1" applyAlignment="1">
      <alignment horizontal="right" vertical="center"/>
    </xf>
    <xf numFmtId="3" fontId="10" fillId="3" borderId="4" xfId="0" applyNumberFormat="1" applyFont="1" applyFill="1" applyBorder="1" applyAlignment="1">
      <alignment horizontal="right" vertical="center"/>
    </xf>
    <xf numFmtId="3" fontId="10" fillId="3" borderId="3" xfId="0" applyNumberFormat="1" applyFont="1" applyFill="1" applyBorder="1" applyAlignment="1">
      <alignment horizontal="right" vertical="center"/>
    </xf>
    <xf numFmtId="3" fontId="10" fillId="4" borderId="2" xfId="1" applyNumberFormat="1" applyFont="1" applyFill="1" applyBorder="1" applyAlignment="1">
      <alignment horizontal="right" vertical="center"/>
    </xf>
    <xf numFmtId="3" fontId="10" fillId="4" borderId="2" xfId="0" applyNumberFormat="1" applyFont="1" applyFill="1" applyBorder="1" applyAlignment="1">
      <alignment horizontal="right" vertical="center"/>
    </xf>
    <xf numFmtId="165" fontId="10" fillId="4" borderId="3" xfId="0" applyNumberFormat="1" applyFont="1" applyFill="1" applyBorder="1" applyAlignment="1">
      <alignment horizontal="right" vertical="center"/>
    </xf>
    <xf numFmtId="3" fontId="10" fillId="4" borderId="3" xfId="0" applyNumberFormat="1" applyFont="1" applyFill="1" applyBorder="1" applyAlignment="1">
      <alignment horizontal="right" vertical="center"/>
    </xf>
    <xf numFmtId="3" fontId="10" fillId="4" borderId="4" xfId="0" applyNumberFormat="1" applyFont="1" applyFill="1" applyBorder="1" applyAlignment="1">
      <alignment horizontal="right" vertical="center"/>
    </xf>
    <xf numFmtId="0" fontId="4" fillId="2" borderId="2" xfId="0" applyFont="1" applyFill="1" applyBorder="1" applyAlignment="1">
      <alignment horizontal="right" wrapText="1"/>
    </xf>
    <xf numFmtId="164" fontId="4" fillId="2" borderId="3" xfId="0" applyNumberFormat="1" applyFont="1" applyFill="1" applyBorder="1" applyAlignment="1">
      <alignment horizontal="right" wrapText="1"/>
    </xf>
    <xf numFmtId="3" fontId="10" fillId="3" borderId="4" xfId="1" applyNumberFormat="1" applyFont="1" applyFill="1" applyBorder="1" applyAlignment="1">
      <alignment horizontal="right" vertical="center"/>
    </xf>
    <xf numFmtId="3" fontId="10" fillId="4" borderId="4" xfId="1" applyNumberFormat="1" applyFont="1" applyFill="1" applyBorder="1" applyAlignment="1">
      <alignment horizontal="right" vertical="center"/>
    </xf>
    <xf numFmtId="165" fontId="10" fillId="3" borderId="2" xfId="1" applyNumberFormat="1" applyFont="1" applyFill="1" applyBorder="1" applyAlignment="1">
      <alignment horizontal="right" vertical="center"/>
    </xf>
    <xf numFmtId="3" fontId="1" fillId="3" borderId="14" xfId="0" applyNumberFormat="1" applyFont="1" applyFill="1" applyBorder="1"/>
    <xf numFmtId="3" fontId="1" fillId="0" borderId="14" xfId="0" applyNumberFormat="1" applyFont="1" applyBorder="1"/>
    <xf numFmtId="3" fontId="1" fillId="4" borderId="14" xfId="0" applyNumberFormat="1" applyFont="1" applyFill="1" applyBorder="1"/>
    <xf numFmtId="0" fontId="4" fillId="7" borderId="0" xfId="1" applyFont="1" applyFill="1" applyAlignment="1">
      <alignment wrapText="1"/>
    </xf>
    <xf numFmtId="0" fontId="11" fillId="0" borderId="0" xfId="0" applyFont="1"/>
    <xf numFmtId="0" fontId="12" fillId="0" borderId="0" xfId="1" applyFont="1"/>
    <xf numFmtId="0" fontId="0" fillId="0" borderId="0" xfId="0"/>
    <xf numFmtId="3" fontId="1" fillId="0" borderId="5" xfId="0" applyNumberFormat="1" applyFont="1" applyBorder="1"/>
    <xf numFmtId="0" fontId="12" fillId="0" borderId="0" xfId="1" applyFont="1" applyAlignment="1">
      <alignment wrapText="1"/>
    </xf>
    <xf numFmtId="0" fontId="8" fillId="8" borderId="0" xfId="1" applyFont="1" applyFill="1" applyAlignment="1">
      <alignment wrapText="1"/>
    </xf>
    <xf numFmtId="0" fontId="3" fillId="0" borderId="5" xfId="0" applyFont="1" applyBorder="1" applyAlignment="1">
      <alignment horizontal="right" wrapText="1"/>
    </xf>
    <xf numFmtId="0" fontId="8" fillId="5" borderId="5" xfId="0" applyFont="1" applyFill="1" applyBorder="1" applyAlignment="1">
      <alignment horizontal="left" vertical="center" wrapText="1"/>
    </xf>
    <xf numFmtId="14" fontId="1" fillId="6" borderId="5" xfId="0" applyNumberFormat="1" applyFont="1" applyFill="1" applyBorder="1" applyAlignment="1">
      <alignment horizontal="left" vertical="center"/>
    </xf>
    <xf numFmtId="0" fontId="0" fillId="0" borderId="0" xfId="0" applyFont="1"/>
    <xf numFmtId="0" fontId="0" fillId="0" borderId="0" xfId="0" applyFont="1" applyAlignment="1">
      <alignment wrapText="1"/>
    </xf>
    <xf numFmtId="0" fontId="9" fillId="0" borderId="0" xfId="0" applyFont="1" applyAlignment="1">
      <alignment vertical="center" wrapText="1"/>
    </xf>
    <xf numFmtId="165" fontId="10" fillId="3" borderId="3" xfId="1" applyNumberFormat="1" applyFont="1" applyFill="1" applyBorder="1" applyAlignment="1">
      <alignment horizontal="right" vertical="center"/>
    </xf>
    <xf numFmtId="3" fontId="2" fillId="6" borderId="2" xfId="1" applyNumberFormat="1" applyFont="1" applyFill="1" applyBorder="1" applyAlignment="1">
      <alignment horizontal="right" vertical="center"/>
    </xf>
    <xf numFmtId="3" fontId="3" fillId="6" borderId="1" xfId="0" applyNumberFormat="1" applyFont="1" applyFill="1" applyBorder="1"/>
    <xf numFmtId="3" fontId="2" fillId="6" borderId="14" xfId="0" applyNumberFormat="1" applyFont="1" applyFill="1" applyBorder="1"/>
    <xf numFmtId="165" fontId="2" fillId="6" borderId="3" xfId="0" applyNumberFormat="1" applyFont="1" applyFill="1" applyBorder="1" applyAlignment="1">
      <alignment horizontal="right" vertical="center"/>
    </xf>
    <xf numFmtId="3" fontId="2" fillId="6" borderId="4" xfId="1" applyNumberFormat="1" applyFont="1" applyFill="1" applyBorder="1" applyAlignment="1">
      <alignment horizontal="right" vertical="center"/>
    </xf>
    <xf numFmtId="3" fontId="2" fillId="6" borderId="4" xfId="0" applyNumberFormat="1" applyFont="1" applyFill="1" applyBorder="1" applyAlignment="1">
      <alignment horizontal="right" vertical="center"/>
    </xf>
    <xf numFmtId="3" fontId="2" fillId="6" borderId="2" xfId="0" applyNumberFormat="1" applyFont="1" applyFill="1" applyBorder="1" applyAlignment="1">
      <alignment horizontal="right" vertical="center"/>
    </xf>
    <xf numFmtId="3" fontId="2" fillId="6" borderId="3" xfId="0" applyNumberFormat="1" applyFont="1" applyFill="1" applyBorder="1" applyAlignment="1">
      <alignment horizontal="right" vertical="center"/>
    </xf>
    <xf numFmtId="3" fontId="1" fillId="0" borderId="5" xfId="0" applyNumberFormat="1" applyFont="1" applyFill="1" applyBorder="1"/>
    <xf numFmtId="3" fontId="1" fillId="0" borderId="0" xfId="0" applyNumberFormat="1" applyFont="1" applyFill="1" applyBorder="1"/>
    <xf numFmtId="3" fontId="1" fillId="3" borderId="14" xfId="0" applyNumberFormat="1" applyFont="1" applyFill="1" applyBorder="1" applyAlignment="1">
      <alignment horizontal="right"/>
    </xf>
    <xf numFmtId="0" fontId="0" fillId="0" borderId="0" xfId="0" applyFill="1"/>
    <xf numFmtId="164" fontId="0" fillId="0" borderId="0" xfId="0" applyNumberFormat="1"/>
    <xf numFmtId="0" fontId="0" fillId="0" borderId="5" xfId="0" applyBorder="1" applyAlignment="1">
      <alignment horizontal="right"/>
    </xf>
    <xf numFmtId="0" fontId="0" fillId="0" borderId="5" xfId="0" applyBorder="1"/>
    <xf numFmtId="3" fontId="10" fillId="0" borderId="5" xfId="1" applyNumberFormat="1" applyFont="1" applyFill="1" applyBorder="1" applyAlignment="1">
      <alignment horizontal="right" vertical="center"/>
    </xf>
    <xf numFmtId="0" fontId="3" fillId="0" borderId="5" xfId="0" applyFont="1" applyBorder="1"/>
    <xf numFmtId="3" fontId="3" fillId="0" borderId="5" xfId="0" applyNumberFormat="1" applyFont="1" applyBorder="1"/>
    <xf numFmtId="0" fontId="0" fillId="0" borderId="5" xfId="0" applyBorder="1" applyAlignment="1">
      <alignment horizontal="right" wrapText="1"/>
    </xf>
    <xf numFmtId="3" fontId="0" fillId="0" borderId="5" xfId="0" applyNumberFormat="1" applyBorder="1"/>
    <xf numFmtId="0" fontId="0" fillId="0" borderId="0" xfId="0" applyAlignment="1">
      <alignment horizontal="left" wrapText="1"/>
    </xf>
    <xf numFmtId="0" fontId="4" fillId="2" borderId="11" xfId="0" applyFont="1" applyFill="1" applyBorder="1" applyAlignment="1">
      <alignment horizontal="right" wrapText="1"/>
    </xf>
    <xf numFmtId="0" fontId="4" fillId="2" borderId="8" xfId="0" applyFont="1" applyFill="1" applyBorder="1" applyAlignment="1">
      <alignment horizontal="right" wrapText="1"/>
    </xf>
    <xf numFmtId="0" fontId="4" fillId="2" borderId="9"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0" xfId="0" applyFont="1" applyFill="1" applyBorder="1" applyAlignment="1">
      <alignment horizontal="left" wrapText="1"/>
    </xf>
    <xf numFmtId="0" fontId="4" fillId="2" borderId="7" xfId="0" applyFont="1" applyFill="1" applyBorder="1" applyAlignment="1">
      <alignment horizontal="left" wrapText="1"/>
    </xf>
    <xf numFmtId="0" fontId="4" fillId="2" borderId="6" xfId="0" applyFont="1" applyFill="1" applyBorder="1" applyAlignment="1">
      <alignment horizontal="left" wrapText="1"/>
    </xf>
    <xf numFmtId="0" fontId="4" fillId="2" borderId="8" xfId="0" applyFont="1" applyFill="1" applyBorder="1" applyAlignment="1">
      <alignment horizontal="left" wrapText="1"/>
    </xf>
    <xf numFmtId="0" fontId="4" fillId="2" borderId="4"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10" xfId="0" applyFont="1" applyFill="1" applyBorder="1" applyAlignment="1">
      <alignment horizontal="right" wrapText="1"/>
    </xf>
    <xf numFmtId="0" fontId="4" fillId="2" borderId="7" xfId="0" applyFont="1" applyFill="1" applyBorder="1" applyAlignment="1">
      <alignment horizontal="right" wrapText="1"/>
    </xf>
    <xf numFmtId="0" fontId="4" fillId="2" borderId="12" xfId="0" applyFont="1" applyFill="1" applyBorder="1" applyAlignment="1">
      <alignment horizontal="right" wrapText="1"/>
    </xf>
    <xf numFmtId="0" fontId="4" fillId="2" borderId="13" xfId="0" applyFont="1" applyFill="1" applyBorder="1" applyAlignment="1">
      <alignment horizontal="right" wrapText="1"/>
    </xf>
    <xf numFmtId="0" fontId="4" fillId="2" borderId="4" xfId="0" applyFont="1" applyFill="1" applyBorder="1" applyAlignment="1">
      <alignment horizontal="center" wrapText="1"/>
    </xf>
    <xf numFmtId="0" fontId="4" fillId="2" borderId="2" xfId="0" applyFont="1" applyFill="1" applyBorder="1" applyAlignment="1">
      <alignment horizontal="center" wrapText="1"/>
    </xf>
    <xf numFmtId="0" fontId="4" fillId="2" borderId="0" xfId="0" applyFont="1" applyFill="1" applyBorder="1" applyAlignment="1">
      <alignment horizontal="center" wrapText="1"/>
    </xf>
    <xf numFmtId="0" fontId="4" fillId="2" borderId="7" xfId="0" applyFont="1" applyFill="1" applyBorder="1" applyAlignment="1">
      <alignment horizontal="center" wrapText="1"/>
    </xf>
  </cellXfs>
  <cellStyles count="4">
    <cellStyle name="Standard" xfId="0" builtinId="0"/>
    <cellStyle name="Standard 2" xfId="1" xr:uid="{00000000-0005-0000-0000-000031000000}"/>
    <cellStyle name="Standard 2 2" xfId="2" xr:uid="{00000000-0005-0000-0000-000031000000}"/>
    <cellStyle name="Standard 2 2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Bundesländer001_1" fillFormulas="1" connectionId="3" xr16:uid="{10EB7D4A-C6FB-4E43-B944-6B911CB0EBE1}" autoFormatId="0" applyNumberFormats="0" applyBorderFormats="0" applyFontFormats="1" applyPatternFormats="1" applyAlignmentFormats="0" applyWidthHeightFormats="0">
  <queryTableRefresh preserveSortFilterLayout="0" nextId="23">
    <queryTableFields count="11">
      <queryTableField id="2" name="Fälle kumulativ"/>
      <queryTableField id="18" dataBound="0" fillFormulas="1"/>
      <queryTableField id="17" dataBound="0" fillFormulas="1"/>
      <queryTableField id="21" dataBound="0" fillFormulas="1"/>
      <queryTableField id="3" name="Differenz Vortag"/>
      <queryTableField id="16" dataBound="0" fillFormulas="1"/>
      <queryTableField id="5" dataBound="0" fillFormulas="1"/>
      <queryTableField id="20" dataBound="0" fillFormulas="1"/>
      <queryTableField id="19" dataBound="0" fillFormulas="1"/>
      <queryTableField id="22" dataBound="0" fillFormulas="1"/>
      <queryTableField id="10" dataBound="0" fillFormulas="1"/>
    </queryTableFields>
    <queryTableDeletedFields count="6">
      <deletedField name="Todesfälle"/>
      <deletedField name="Todesfälle/ 100.000 Einw."/>
      <deletedField name="Bundesland"/>
      <deletedField name="Fälle in den letzten 7 Tagen"/>
      <deletedField name="7-Tage-Inzidenz"/>
      <deletedField name="Fälle kumulativ/ 100.000 Einw."/>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Bundesländer001_1" fillFormulas="1" connectionId="2" xr16:uid="{85D177FD-4909-4AAF-B663-F45CEC25E8F5}" autoFormatId="0" applyNumberFormats="0" applyBorderFormats="0" applyFontFormats="1" applyPatternFormats="1" applyAlignmentFormats="0" applyWidthHeightFormats="0">
  <queryTableRefresh preserveSortFilterLayout="0" nextId="13">
    <queryTableFields count="4">
      <queryTableField id="5" name="Fälle in den letzten 7 Tagen"/>
      <queryTableField id="10" dataBound="0" fillFormulas="1"/>
      <queryTableField id="9" dataBound="0" fillFormulas="1"/>
      <queryTableField id="6" name="7-Tage-Inzidenz"/>
    </queryTableFields>
    <queryTableDeletedFields count="6">
      <deletedField name="Todesfälle"/>
      <deletedField name="Todesfälle/ 100.000 Einw."/>
      <deletedField name="Bundesland"/>
      <deletedField name="Fälle kumulativ"/>
      <deletedField name="Differenz Vortag"/>
      <deletedField name="Fälle kumulativ/ 100.000 Einw."/>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Bundesländer001" fillFormulas="1" connectionId="1" xr16:uid="{8C6643A4-82D3-4F11-ADE7-BA4132573BCB}" autoFormatId="0" applyNumberFormats="0" applyBorderFormats="0" applyFontFormats="1" applyPatternFormats="1" applyAlignmentFormats="0" applyWidthHeightFormats="0">
  <queryTableRefresh preserveSortFilterLayout="0" nextId="13">
    <queryTableFields count="4">
      <queryTableField id="5" name="Fälle in den letzten 7 Tagen"/>
      <queryTableField id="10" dataBound="0" fillFormulas="1"/>
      <queryTableField id="9" dataBound="0" fillFormulas="1"/>
      <queryTableField id="6" name="7-Tage-Inzidenz"/>
    </queryTableFields>
    <queryTableDeletedFields count="6">
      <deletedField name="Todesfälle"/>
      <deletedField name="Todesfälle/ 100.000 Einw."/>
      <deletedField name="Bundesland"/>
      <deletedField name="Fälle kumulativ"/>
      <deletedField name="Differenz Vortag"/>
      <deletedField name="Fälle kumulativ/ 100.000 Einw."/>
    </queryTableDeletedFields>
  </queryTableRefresh>
</query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1AA5B-8CBB-47B1-9317-352256D0A517}">
  <dimension ref="A1:C23"/>
  <sheetViews>
    <sheetView workbookViewId="0">
      <selection activeCell="A24" sqref="A24"/>
    </sheetView>
  </sheetViews>
  <sheetFormatPr baseColWidth="10" defaultColWidth="11.3984375" defaultRowHeight="14.25" x14ac:dyDescent="0.45"/>
  <cols>
    <col min="1" max="1" width="148.3984375" style="5" customWidth="1"/>
    <col min="2" max="16384" width="11.3984375" style="5"/>
  </cols>
  <sheetData>
    <row r="1" spans="1:3" x14ac:dyDescent="0.45">
      <c r="A1" s="28" t="s">
        <v>50</v>
      </c>
    </row>
    <row r="2" spans="1:3" x14ac:dyDescent="0.45">
      <c r="A2" s="30" t="s">
        <v>18</v>
      </c>
    </row>
    <row r="3" spans="1:3" x14ac:dyDescent="0.45">
      <c r="A3" s="30" t="s">
        <v>67</v>
      </c>
      <c r="B3" s="3"/>
      <c r="C3" s="4"/>
    </row>
    <row r="4" spans="1:3" x14ac:dyDescent="0.45">
      <c r="A4" s="30"/>
      <c r="B4" s="3"/>
      <c r="C4" s="4"/>
    </row>
    <row r="5" spans="1:3" x14ac:dyDescent="0.45">
      <c r="A5" s="34" t="s">
        <v>68</v>
      </c>
    </row>
    <row r="6" spans="1:3" ht="29.25" customHeight="1" x14ac:dyDescent="0.45">
      <c r="A6" s="33" t="s">
        <v>69</v>
      </c>
    </row>
    <row r="7" spans="1:3" x14ac:dyDescent="0.45">
      <c r="A7" s="30" t="s">
        <v>21</v>
      </c>
    </row>
    <row r="8" spans="1:3" x14ac:dyDescent="0.45">
      <c r="A8" s="30" t="s">
        <v>22</v>
      </c>
    </row>
    <row r="9" spans="1:3" s="31" customFormat="1" x14ac:dyDescent="0.45">
      <c r="A9" s="30"/>
    </row>
    <row r="10" spans="1:3" s="31" customFormat="1" x14ac:dyDescent="0.45">
      <c r="A10" s="30"/>
    </row>
    <row r="11" spans="1:3" x14ac:dyDescent="0.45">
      <c r="A11" s="34" t="s">
        <v>70</v>
      </c>
    </row>
    <row r="12" spans="1:3" ht="28.5" x14ac:dyDescent="0.45">
      <c r="A12" s="39" t="s">
        <v>55</v>
      </c>
    </row>
    <row r="13" spans="1:3" s="31" customFormat="1" x14ac:dyDescent="0.45">
      <c r="A13" s="29"/>
    </row>
    <row r="14" spans="1:3" x14ac:dyDescent="0.45">
      <c r="A14" s="30" t="s">
        <v>18</v>
      </c>
    </row>
    <row r="15" spans="1:3" x14ac:dyDescent="0.45">
      <c r="A15" s="34" t="s">
        <v>31</v>
      </c>
    </row>
    <row r="16" spans="1:3" ht="28.5" x14ac:dyDescent="0.45">
      <c r="A16" s="40" t="s">
        <v>32</v>
      </c>
    </row>
    <row r="17" spans="1:1" x14ac:dyDescent="0.45">
      <c r="A17" s="29"/>
    </row>
    <row r="18" spans="1:1" x14ac:dyDescent="0.45">
      <c r="A18" s="29"/>
    </row>
    <row r="19" spans="1:1" x14ac:dyDescent="0.45">
      <c r="A19" s="29" t="s">
        <v>30</v>
      </c>
    </row>
    <row r="20" spans="1:1" x14ac:dyDescent="0.45">
      <c r="A20" s="38" t="s">
        <v>52</v>
      </c>
    </row>
    <row r="21" spans="1:1" x14ac:dyDescent="0.45">
      <c r="A21" s="38" t="s">
        <v>53</v>
      </c>
    </row>
    <row r="22" spans="1:1" x14ac:dyDescent="0.45">
      <c r="A22" s="38" t="s">
        <v>54</v>
      </c>
    </row>
    <row r="23" spans="1:1" x14ac:dyDescent="0.45">
      <c r="A23" s="38" t="s">
        <v>56</v>
      </c>
    </row>
  </sheetData>
  <pageMargins left="0.7" right="0.7" top="0.78740157499999996" bottom="0.78740157499999996" header="0.3" footer="0.3"/>
  <pageSetup paperSize="9"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1EB7E-F725-49E9-9B87-E64B6D1D2BBC}">
  <dimension ref="A1:R28"/>
  <sheetViews>
    <sheetView tabSelected="1" workbookViewId="0">
      <selection activeCell="B26" sqref="B26"/>
    </sheetView>
  </sheetViews>
  <sheetFormatPr baseColWidth="10" defaultRowHeight="14.25" x14ac:dyDescent="0.45"/>
  <cols>
    <col min="1" max="1" width="3.73046875" customWidth="1"/>
    <col min="2" max="2" width="23" bestFit="1" customWidth="1"/>
    <col min="3" max="3" width="18.1328125" customWidth="1"/>
    <col min="4" max="5" width="11.3984375" style="5"/>
    <col min="7" max="7" width="13" style="31" customWidth="1"/>
    <col min="8" max="8" width="12.265625" style="5" customWidth="1"/>
    <col min="9" max="9" width="10" customWidth="1"/>
    <col min="11" max="12" width="11.3984375" style="31"/>
    <col min="13" max="13" width="12.73046875" style="31" customWidth="1"/>
    <col min="14" max="14" width="12.59765625" customWidth="1"/>
    <col min="15" max="15" width="9.59765625" customWidth="1"/>
    <col min="16" max="16" width="18" customWidth="1"/>
  </cols>
  <sheetData>
    <row r="1" spans="1:15" ht="15" customHeight="1" x14ac:dyDescent="0.45">
      <c r="A1" s="68" t="s">
        <v>42</v>
      </c>
      <c r="B1" s="70" t="s">
        <v>16</v>
      </c>
      <c r="C1" s="76" t="s">
        <v>49</v>
      </c>
      <c r="D1" s="72" t="s">
        <v>44</v>
      </c>
      <c r="E1" s="73"/>
      <c r="F1" s="73"/>
      <c r="G1" s="73"/>
      <c r="H1" s="73"/>
      <c r="I1" s="73"/>
      <c r="J1" s="65" t="s">
        <v>45</v>
      </c>
      <c r="K1" s="66"/>
      <c r="L1" s="66"/>
      <c r="M1" s="66"/>
      <c r="N1" s="66"/>
      <c r="O1" s="67"/>
    </row>
    <row r="2" spans="1:15" s="5" customFormat="1" ht="15" customHeight="1" x14ac:dyDescent="0.45">
      <c r="A2" s="68"/>
      <c r="B2" s="70"/>
      <c r="C2" s="76"/>
      <c r="D2" s="78" t="s">
        <v>20</v>
      </c>
      <c r="E2" s="79"/>
      <c r="F2" s="79"/>
      <c r="G2" s="79"/>
      <c r="H2" s="74" t="s">
        <v>17</v>
      </c>
      <c r="I2" s="63" t="s">
        <v>48</v>
      </c>
      <c r="J2" s="78" t="s">
        <v>20</v>
      </c>
      <c r="K2" s="79"/>
      <c r="L2" s="79"/>
      <c r="M2" s="79"/>
      <c r="N2" s="74" t="s">
        <v>17</v>
      </c>
      <c r="O2" s="63" t="s">
        <v>48</v>
      </c>
    </row>
    <row r="3" spans="1:15" ht="16.5" customHeight="1" x14ac:dyDescent="0.45">
      <c r="A3" s="69"/>
      <c r="B3" s="71"/>
      <c r="C3" s="77"/>
      <c r="D3" s="20" t="s">
        <v>19</v>
      </c>
      <c r="E3" s="20" t="s">
        <v>47</v>
      </c>
      <c r="F3" s="20" t="s">
        <v>46</v>
      </c>
      <c r="G3" s="20" t="s">
        <v>57</v>
      </c>
      <c r="H3" s="75"/>
      <c r="I3" s="64"/>
      <c r="J3" s="20" t="s">
        <v>19</v>
      </c>
      <c r="K3" s="20" t="s">
        <v>47</v>
      </c>
      <c r="L3" s="20" t="s">
        <v>46</v>
      </c>
      <c r="M3" s="20" t="s">
        <v>57</v>
      </c>
      <c r="N3" s="75"/>
      <c r="O3" s="64"/>
    </row>
    <row r="4" spans="1:15" x14ac:dyDescent="0.45">
      <c r="A4" s="7" t="s">
        <v>33</v>
      </c>
      <c r="B4" s="1" t="s">
        <v>1</v>
      </c>
      <c r="C4" s="25">
        <v>1553969</v>
      </c>
      <c r="D4" s="10">
        <v>1080589</v>
      </c>
      <c r="E4" s="10">
        <v>721048</v>
      </c>
      <c r="F4" s="10">
        <v>46012</v>
      </c>
      <c r="G4" s="10">
        <v>313529</v>
      </c>
      <c r="H4" s="10">
        <v>23608</v>
      </c>
      <c r="I4" s="24">
        <v>9.7346904983733005</v>
      </c>
      <c r="J4" s="22">
        <v>473380</v>
      </c>
      <c r="K4" s="10">
        <v>451401</v>
      </c>
      <c r="L4" s="10">
        <v>21973</v>
      </c>
      <c r="M4" s="10">
        <v>6</v>
      </c>
      <c r="N4" s="11">
        <v>9679</v>
      </c>
      <c r="O4" s="41">
        <v>4.2645333129616843</v>
      </c>
    </row>
    <row r="5" spans="1:15" x14ac:dyDescent="0.45">
      <c r="A5" s="8" t="s">
        <v>34</v>
      </c>
      <c r="B5" s="2" t="s">
        <v>0</v>
      </c>
      <c r="C5" s="26">
        <v>1974514</v>
      </c>
      <c r="D5" s="15">
        <v>1344543</v>
      </c>
      <c r="E5" s="15">
        <v>925792</v>
      </c>
      <c r="F5" s="15">
        <v>64901</v>
      </c>
      <c r="G5" s="15">
        <v>353850</v>
      </c>
      <c r="H5" s="16">
        <v>36328</v>
      </c>
      <c r="I5" s="17">
        <v>10.244342419966205</v>
      </c>
      <c r="J5" s="23">
        <v>629971</v>
      </c>
      <c r="K5" s="15">
        <v>610832</v>
      </c>
      <c r="L5" s="15">
        <v>19079</v>
      </c>
      <c r="M5" s="15">
        <v>60</v>
      </c>
      <c r="N5" s="16">
        <v>13685</v>
      </c>
      <c r="O5" s="17">
        <v>4.7998752279759973</v>
      </c>
    </row>
    <row r="6" spans="1:15" x14ac:dyDescent="0.45">
      <c r="A6" s="7">
        <v>11</v>
      </c>
      <c r="B6" s="1" t="s">
        <v>3</v>
      </c>
      <c r="C6" s="25">
        <v>543356</v>
      </c>
      <c r="D6" s="10">
        <v>371582</v>
      </c>
      <c r="E6" s="10">
        <v>259717</v>
      </c>
      <c r="F6" s="10">
        <v>35780</v>
      </c>
      <c r="G6" s="10">
        <v>76085</v>
      </c>
      <c r="H6" s="11">
        <v>8871</v>
      </c>
      <c r="I6" s="12">
        <v>10.1262545677316</v>
      </c>
      <c r="J6" s="22">
        <v>171774</v>
      </c>
      <c r="K6" s="10">
        <v>166446</v>
      </c>
      <c r="L6" s="10">
        <v>5328</v>
      </c>
      <c r="M6" s="10">
        <v>0</v>
      </c>
      <c r="N6" s="11">
        <v>3618</v>
      </c>
      <c r="O6" s="12">
        <v>4.6811397003017587</v>
      </c>
    </row>
    <row r="7" spans="1:15" x14ac:dyDescent="0.45">
      <c r="A7" s="8">
        <v>12</v>
      </c>
      <c r="B7" s="2" t="s">
        <v>2</v>
      </c>
      <c r="C7" s="26">
        <v>348612</v>
      </c>
      <c r="D7" s="15">
        <v>258338</v>
      </c>
      <c r="E7" s="15">
        <v>165536</v>
      </c>
      <c r="F7" s="15">
        <v>16329</v>
      </c>
      <c r="G7" s="15">
        <v>76473</v>
      </c>
      <c r="H7" s="16">
        <v>13714</v>
      </c>
      <c r="I7" s="17">
        <v>10.243812881831229</v>
      </c>
      <c r="J7" s="23">
        <v>90274</v>
      </c>
      <c r="K7" s="15">
        <v>86179</v>
      </c>
      <c r="L7" s="15">
        <v>4094</v>
      </c>
      <c r="M7" s="15">
        <v>1</v>
      </c>
      <c r="N7" s="16">
        <v>1521</v>
      </c>
      <c r="O7" s="17">
        <v>3.5796126163956998</v>
      </c>
    </row>
    <row r="8" spans="1:15" x14ac:dyDescent="0.45">
      <c r="A8" s="7" t="s">
        <v>35</v>
      </c>
      <c r="B8" s="1" t="s">
        <v>4</v>
      </c>
      <c r="C8" s="25">
        <v>107632</v>
      </c>
      <c r="D8" s="10">
        <v>76320</v>
      </c>
      <c r="E8" s="10">
        <v>49296</v>
      </c>
      <c r="F8" s="10">
        <v>3897</v>
      </c>
      <c r="G8" s="10">
        <v>23127</v>
      </c>
      <c r="H8" s="11">
        <v>2432</v>
      </c>
      <c r="I8" s="12">
        <v>11.203725179902584</v>
      </c>
      <c r="J8" s="22">
        <v>31312</v>
      </c>
      <c r="K8" s="10">
        <v>29457</v>
      </c>
      <c r="L8" s="10">
        <v>1855</v>
      </c>
      <c r="M8" s="10">
        <v>0</v>
      </c>
      <c r="N8" s="11">
        <v>725</v>
      </c>
      <c r="O8" s="12">
        <v>4.5965807499097187</v>
      </c>
    </row>
    <row r="9" spans="1:15" x14ac:dyDescent="0.45">
      <c r="A9" s="8" t="s">
        <v>36</v>
      </c>
      <c r="B9" s="2" t="s">
        <v>5</v>
      </c>
      <c r="C9" s="26">
        <v>265937</v>
      </c>
      <c r="D9" s="15">
        <v>182998</v>
      </c>
      <c r="E9" s="15">
        <v>126887</v>
      </c>
      <c r="F9" s="15">
        <v>6986</v>
      </c>
      <c r="G9" s="15">
        <v>49125</v>
      </c>
      <c r="H9" s="16">
        <v>3725</v>
      </c>
      <c r="I9" s="17">
        <v>9.9064935880466827</v>
      </c>
      <c r="J9" s="23">
        <v>82939</v>
      </c>
      <c r="K9" s="15">
        <v>81336</v>
      </c>
      <c r="L9" s="15">
        <v>1600</v>
      </c>
      <c r="M9" s="15">
        <v>3</v>
      </c>
      <c r="N9" s="16">
        <v>1231</v>
      </c>
      <c r="O9" s="17">
        <v>4.4898560186395695</v>
      </c>
    </row>
    <row r="10" spans="1:15" x14ac:dyDescent="0.45">
      <c r="A10" s="7" t="s">
        <v>37</v>
      </c>
      <c r="B10" s="1" t="s">
        <v>15</v>
      </c>
      <c r="C10" s="25">
        <v>892266</v>
      </c>
      <c r="D10" s="10">
        <v>616264</v>
      </c>
      <c r="E10" s="10">
        <v>433247</v>
      </c>
      <c r="F10" s="10">
        <v>21091</v>
      </c>
      <c r="G10" s="10">
        <v>161926</v>
      </c>
      <c r="H10" s="11">
        <v>15046</v>
      </c>
      <c r="I10" s="12">
        <v>9.8005114438747594</v>
      </c>
      <c r="J10" s="22">
        <v>276002</v>
      </c>
      <c r="K10" s="10">
        <v>267516</v>
      </c>
      <c r="L10" s="10">
        <v>8425</v>
      </c>
      <c r="M10" s="10">
        <v>61</v>
      </c>
      <c r="N10" s="11">
        <v>8073</v>
      </c>
      <c r="O10" s="12">
        <v>4.3892889403442705</v>
      </c>
    </row>
    <row r="11" spans="1:15" x14ac:dyDescent="0.45">
      <c r="A11" s="8">
        <v>13</v>
      </c>
      <c r="B11" s="2" t="s">
        <v>6</v>
      </c>
      <c r="C11" s="27">
        <v>211466</v>
      </c>
      <c r="D11" s="15">
        <v>143656</v>
      </c>
      <c r="E11" s="15">
        <v>110628</v>
      </c>
      <c r="F11" s="15">
        <v>8183</v>
      </c>
      <c r="G11" s="15">
        <v>24845</v>
      </c>
      <c r="H11" s="16">
        <v>5513</v>
      </c>
      <c r="I11" s="17">
        <v>8.9330642022015532</v>
      </c>
      <c r="J11" s="23">
        <v>67810</v>
      </c>
      <c r="K11" s="15">
        <v>64891</v>
      </c>
      <c r="L11" s="15">
        <v>2888</v>
      </c>
      <c r="M11" s="15">
        <v>31</v>
      </c>
      <c r="N11" s="16">
        <v>1843</v>
      </c>
      <c r="O11" s="17">
        <v>4.2166779219196364</v>
      </c>
    </row>
    <row r="12" spans="1:15" x14ac:dyDescent="0.45">
      <c r="A12" s="7" t="s">
        <v>38</v>
      </c>
      <c r="B12" s="1" t="s">
        <v>7</v>
      </c>
      <c r="C12" s="25">
        <v>1108104</v>
      </c>
      <c r="D12" s="10">
        <v>761064</v>
      </c>
      <c r="E12" s="10">
        <v>517978</v>
      </c>
      <c r="F12" s="10">
        <v>33818</v>
      </c>
      <c r="G12" s="10">
        <v>209268</v>
      </c>
      <c r="H12" s="11">
        <v>22214</v>
      </c>
      <c r="I12" s="12">
        <v>9.5209072048566803</v>
      </c>
      <c r="J12" s="22">
        <v>347040</v>
      </c>
      <c r="K12" s="10">
        <v>337726</v>
      </c>
      <c r="L12" s="10">
        <v>9314</v>
      </c>
      <c r="M12" s="10">
        <v>0</v>
      </c>
      <c r="N12" s="11">
        <v>13537</v>
      </c>
      <c r="O12" s="12">
        <v>4.3414688335980456</v>
      </c>
    </row>
    <row r="13" spans="1:15" x14ac:dyDescent="0.45">
      <c r="A13" s="8" t="s">
        <v>39</v>
      </c>
      <c r="B13" s="2" t="s">
        <v>8</v>
      </c>
      <c r="C13" s="26">
        <v>2358399</v>
      </c>
      <c r="D13" s="15">
        <v>1639704</v>
      </c>
      <c r="E13" s="15">
        <v>1138319</v>
      </c>
      <c r="F13" s="15">
        <v>35544</v>
      </c>
      <c r="G13" s="15">
        <v>465841</v>
      </c>
      <c r="H13" s="16">
        <v>29344</v>
      </c>
      <c r="I13" s="17">
        <v>9.1362556910621429</v>
      </c>
      <c r="J13" s="23">
        <v>718695</v>
      </c>
      <c r="K13" s="15">
        <v>704777</v>
      </c>
      <c r="L13" s="15">
        <v>13640</v>
      </c>
      <c r="M13" s="15">
        <v>278</v>
      </c>
      <c r="N13" s="16">
        <v>15427</v>
      </c>
      <c r="O13" s="17">
        <v>4.0044918374828056</v>
      </c>
    </row>
    <row r="14" spans="1:15" x14ac:dyDescent="0.45">
      <c r="A14" s="7" t="s">
        <v>40</v>
      </c>
      <c r="B14" s="1" t="s">
        <v>12</v>
      </c>
      <c r="C14" s="25">
        <v>616516</v>
      </c>
      <c r="D14" s="10">
        <v>443982</v>
      </c>
      <c r="E14" s="10">
        <v>292824</v>
      </c>
      <c r="F14" s="10">
        <v>22337</v>
      </c>
      <c r="G14" s="10">
        <v>128821</v>
      </c>
      <c r="H14" s="11">
        <v>8391</v>
      </c>
      <c r="I14" s="12">
        <v>10.844956512159667</v>
      </c>
      <c r="J14" s="22">
        <v>172534</v>
      </c>
      <c r="K14" s="10">
        <v>168255</v>
      </c>
      <c r="L14" s="10">
        <v>4232</v>
      </c>
      <c r="M14" s="10">
        <v>47</v>
      </c>
      <c r="N14" s="11">
        <v>2227</v>
      </c>
      <c r="O14" s="12">
        <v>4.2144134826838844</v>
      </c>
    </row>
    <row r="15" spans="1:15" x14ac:dyDescent="0.45">
      <c r="A15" s="8">
        <v>10</v>
      </c>
      <c r="B15" s="2" t="s">
        <v>13</v>
      </c>
      <c r="C15" s="26">
        <v>154580</v>
      </c>
      <c r="D15" s="15">
        <v>115559</v>
      </c>
      <c r="E15" s="15">
        <v>78257</v>
      </c>
      <c r="F15" s="15">
        <v>6022</v>
      </c>
      <c r="G15" s="15">
        <v>31280</v>
      </c>
      <c r="H15" s="16">
        <v>3074</v>
      </c>
      <c r="I15" s="17">
        <v>11.709445964938235</v>
      </c>
      <c r="J15" s="23">
        <v>39021</v>
      </c>
      <c r="K15" s="15">
        <v>37560</v>
      </c>
      <c r="L15" s="15">
        <v>1457</v>
      </c>
      <c r="M15" s="15">
        <v>4</v>
      </c>
      <c r="N15" s="16">
        <v>765</v>
      </c>
      <c r="O15" s="17">
        <v>3.9539481217201162</v>
      </c>
    </row>
    <row r="16" spans="1:15" x14ac:dyDescent="0.45">
      <c r="A16" s="7">
        <v>14</v>
      </c>
      <c r="B16" s="1" t="s">
        <v>9</v>
      </c>
      <c r="C16" s="25">
        <v>547324</v>
      </c>
      <c r="D16" s="10">
        <v>342572</v>
      </c>
      <c r="E16" s="10">
        <v>271474</v>
      </c>
      <c r="F16" s="10">
        <v>17895</v>
      </c>
      <c r="G16" s="10">
        <v>53203</v>
      </c>
      <c r="H16" s="11">
        <v>4173</v>
      </c>
      <c r="I16" s="12">
        <v>8.4129282846071352</v>
      </c>
      <c r="J16" s="22">
        <v>204752</v>
      </c>
      <c r="K16" s="10">
        <v>197271</v>
      </c>
      <c r="L16" s="10">
        <v>7481</v>
      </c>
      <c r="M16" s="10">
        <v>0</v>
      </c>
      <c r="N16" s="11">
        <v>6904</v>
      </c>
      <c r="O16" s="12">
        <v>5.0283265769820069</v>
      </c>
    </row>
    <row r="17" spans="1:18" x14ac:dyDescent="0.45">
      <c r="A17" s="8">
        <v>15</v>
      </c>
      <c r="B17" s="2" t="s">
        <v>10</v>
      </c>
      <c r="C17" s="26">
        <v>296886</v>
      </c>
      <c r="D17" s="15">
        <v>212283</v>
      </c>
      <c r="E17" s="15">
        <v>143948</v>
      </c>
      <c r="F17" s="15">
        <v>13999</v>
      </c>
      <c r="G17" s="15">
        <v>54336</v>
      </c>
      <c r="H17" s="16">
        <v>8402</v>
      </c>
      <c r="I17" s="17">
        <v>9.6721678964015574</v>
      </c>
      <c r="J17" s="23">
        <v>84603</v>
      </c>
      <c r="K17" s="15">
        <v>81259</v>
      </c>
      <c r="L17" s="15">
        <v>3340</v>
      </c>
      <c r="M17" s="15">
        <v>4</v>
      </c>
      <c r="N17" s="16">
        <v>1987</v>
      </c>
      <c r="O17" s="17">
        <v>3.8547336364158262</v>
      </c>
    </row>
    <row r="18" spans="1:18" x14ac:dyDescent="0.45">
      <c r="A18" s="7" t="s">
        <v>41</v>
      </c>
      <c r="B18" s="1" t="s">
        <v>11</v>
      </c>
      <c r="C18" s="25">
        <v>424471</v>
      </c>
      <c r="D18" s="10">
        <v>319301</v>
      </c>
      <c r="E18" s="10">
        <v>218609</v>
      </c>
      <c r="F18" s="10">
        <v>15586</v>
      </c>
      <c r="G18" s="10">
        <v>85106</v>
      </c>
      <c r="H18" s="11">
        <v>10508</v>
      </c>
      <c r="I18" s="12">
        <v>10.996073040144667</v>
      </c>
      <c r="J18" s="22">
        <v>105170</v>
      </c>
      <c r="K18" s="10">
        <v>102332</v>
      </c>
      <c r="L18" s="10">
        <v>2806</v>
      </c>
      <c r="M18" s="10">
        <v>32</v>
      </c>
      <c r="N18" s="11">
        <v>1326</v>
      </c>
      <c r="O18" s="12">
        <v>3.6218395859455956</v>
      </c>
    </row>
    <row r="19" spans="1:18" x14ac:dyDescent="0.45">
      <c r="A19" s="8">
        <v>16</v>
      </c>
      <c r="B19" s="2" t="s">
        <v>14</v>
      </c>
      <c r="C19" s="26">
        <v>342883</v>
      </c>
      <c r="D19" s="15">
        <v>234541</v>
      </c>
      <c r="E19" s="15">
        <v>157704</v>
      </c>
      <c r="F19" s="15">
        <v>8982</v>
      </c>
      <c r="G19" s="15">
        <v>67855</v>
      </c>
      <c r="H19" s="16">
        <v>5512</v>
      </c>
      <c r="I19" s="17">
        <v>10.993879190654447</v>
      </c>
      <c r="J19" s="23">
        <v>108342</v>
      </c>
      <c r="K19" s="15">
        <v>101885</v>
      </c>
      <c r="L19" s="15">
        <v>6457</v>
      </c>
      <c r="M19" s="15">
        <v>0</v>
      </c>
      <c r="N19" s="16">
        <v>2544</v>
      </c>
      <c r="O19" s="17">
        <v>5.0784249204782279</v>
      </c>
      <c r="P19" s="53"/>
      <c r="Q19" s="53"/>
      <c r="R19" s="53"/>
    </row>
    <row r="20" spans="1:18" s="31" customFormat="1" x14ac:dyDescent="0.45">
      <c r="A20" s="7"/>
      <c r="B20" s="1" t="s">
        <v>58</v>
      </c>
      <c r="C20" s="52">
        <v>6980</v>
      </c>
      <c r="D20" s="10">
        <v>6960</v>
      </c>
      <c r="E20" s="10">
        <v>0</v>
      </c>
      <c r="F20" s="10">
        <v>370</v>
      </c>
      <c r="G20" s="10">
        <v>6590</v>
      </c>
      <c r="H20" s="11" t="s">
        <v>71</v>
      </c>
      <c r="I20" s="12" t="s">
        <v>71</v>
      </c>
      <c r="J20" s="22">
        <v>20</v>
      </c>
      <c r="K20" s="10">
        <v>0</v>
      </c>
      <c r="L20" s="10">
        <v>20</v>
      </c>
      <c r="M20" s="10">
        <v>0</v>
      </c>
      <c r="N20" s="11" t="s">
        <v>71</v>
      </c>
      <c r="O20" s="12" t="s">
        <v>71</v>
      </c>
      <c r="P20" s="53"/>
      <c r="Q20" s="53"/>
      <c r="R20" s="53"/>
    </row>
    <row r="21" spans="1:18" x14ac:dyDescent="0.45">
      <c r="A21" s="42"/>
      <c r="B21" s="43" t="s">
        <v>19</v>
      </c>
      <c r="C21" s="44">
        <v>11753895</v>
      </c>
      <c r="D21" s="42">
        <v>8150256</v>
      </c>
      <c r="E21" s="42">
        <v>5611264</v>
      </c>
      <c r="F21" s="42">
        <v>357732</v>
      </c>
      <c r="G21" s="42">
        <v>2181260</v>
      </c>
      <c r="H21" s="42">
        <v>200855</v>
      </c>
      <c r="I21" s="45">
        <v>9.7999017900323135</v>
      </c>
      <c r="J21" s="46">
        <v>3603639</v>
      </c>
      <c r="K21" s="42">
        <v>3489123</v>
      </c>
      <c r="L21" s="42">
        <v>113989</v>
      </c>
      <c r="M21" s="42">
        <v>527</v>
      </c>
      <c r="N21" s="42">
        <v>85092</v>
      </c>
      <c r="O21" s="45">
        <v>4.3330305559396241</v>
      </c>
      <c r="P21" s="53"/>
      <c r="Q21" s="53"/>
      <c r="R21" s="53"/>
    </row>
    <row r="23" spans="1:18" s="31" customFormat="1" ht="14.25" customHeight="1" x14ac:dyDescent="0.45">
      <c r="A23" s="31" t="s">
        <v>43</v>
      </c>
    </row>
    <row r="24" spans="1:18" ht="30.75" customHeight="1" x14ac:dyDescent="0.45">
      <c r="A24" s="62" t="s">
        <v>64</v>
      </c>
      <c r="B24" s="62"/>
      <c r="C24" s="62"/>
      <c r="D24" s="62"/>
      <c r="E24" s="62"/>
      <c r="F24" s="62"/>
      <c r="G24" s="62"/>
      <c r="H24" s="62"/>
      <c r="I24" s="62"/>
      <c r="J24" s="62"/>
      <c r="K24" s="62"/>
      <c r="L24" s="62"/>
      <c r="M24" s="62"/>
      <c r="N24" s="62"/>
      <c r="O24" s="62"/>
    </row>
    <row r="27" spans="1:18" x14ac:dyDescent="0.45">
      <c r="C27" s="9"/>
      <c r="D27" s="9"/>
      <c r="J27" s="9"/>
    </row>
    <row r="28" spans="1:18" x14ac:dyDescent="0.45">
      <c r="C28" s="54"/>
      <c r="D28" s="54"/>
      <c r="J28" s="54"/>
    </row>
  </sheetData>
  <mergeCells count="12">
    <mergeCell ref="A24:O24"/>
    <mergeCell ref="O2:O3"/>
    <mergeCell ref="J1:O1"/>
    <mergeCell ref="A1:A3"/>
    <mergeCell ref="B1:B3"/>
    <mergeCell ref="D1:I1"/>
    <mergeCell ref="I2:I3"/>
    <mergeCell ref="H2:H3"/>
    <mergeCell ref="N2:N3"/>
    <mergeCell ref="C1:C3"/>
    <mergeCell ref="D2:G2"/>
    <mergeCell ref="J2:M2"/>
  </mergeCells>
  <pageMargins left="0.7" right="0.7" top="0.78740157499999996" bottom="0.78740157499999996" header="0.3" footer="0.3"/>
  <pageSetup paperSize="9" orientation="portrait" r:id="rId1"/>
  <ignoredErrors>
    <ignoredError sqref="A4:A19"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4549C-7AD6-45E3-9E9E-50890FFA92FE}">
  <dimension ref="A1:K28"/>
  <sheetViews>
    <sheetView workbookViewId="0">
      <selection activeCell="B28" sqref="B28"/>
    </sheetView>
  </sheetViews>
  <sheetFormatPr baseColWidth="10" defaultColWidth="11.3984375" defaultRowHeight="14.25" x14ac:dyDescent="0.45"/>
  <cols>
    <col min="1" max="1" width="3.265625" style="5" customWidth="1"/>
    <col min="2" max="2" width="23" style="5" bestFit="1" customWidth="1"/>
    <col min="3" max="4" width="11.3984375" style="5"/>
    <col min="5" max="5" width="12.73046875" style="5" customWidth="1"/>
    <col min="6" max="6" width="13" style="5" customWidth="1"/>
    <col min="7" max="8" width="11.3984375" style="5"/>
    <col min="9" max="9" width="13.265625" style="5" customWidth="1"/>
    <col min="10" max="10" width="14.265625" style="5" customWidth="1"/>
    <col min="11" max="11" width="56.3984375" style="5" bestFit="1" customWidth="1"/>
    <col min="12" max="16384" width="11.3984375" style="5"/>
  </cols>
  <sheetData>
    <row r="1" spans="1:10" x14ac:dyDescent="0.45">
      <c r="A1" s="80" t="s">
        <v>42</v>
      </c>
      <c r="B1" s="70" t="s">
        <v>16</v>
      </c>
      <c r="C1" s="65" t="s">
        <v>44</v>
      </c>
      <c r="D1" s="66"/>
      <c r="E1" s="66"/>
      <c r="F1" s="66"/>
      <c r="G1" s="65" t="s">
        <v>45</v>
      </c>
      <c r="H1" s="66"/>
      <c r="I1" s="66"/>
      <c r="J1" s="66"/>
    </row>
    <row r="2" spans="1:10" ht="31.5" customHeight="1" x14ac:dyDescent="0.45">
      <c r="A2" s="81"/>
      <c r="B2" s="71"/>
      <c r="C2" s="20" t="s">
        <v>23</v>
      </c>
      <c r="D2" s="20" t="s">
        <v>24</v>
      </c>
      <c r="E2" s="20" t="s">
        <v>25</v>
      </c>
      <c r="F2" s="21" t="s">
        <v>26</v>
      </c>
      <c r="G2" s="20" t="s">
        <v>23</v>
      </c>
      <c r="H2" s="20" t="s">
        <v>24</v>
      </c>
      <c r="I2" s="20" t="s">
        <v>25</v>
      </c>
      <c r="J2" s="21" t="s">
        <v>26</v>
      </c>
    </row>
    <row r="3" spans="1:10" x14ac:dyDescent="0.45">
      <c r="A3" s="7" t="s">
        <v>33</v>
      </c>
      <c r="B3" s="1" t="s">
        <v>1</v>
      </c>
      <c r="C3" s="13">
        <v>495580</v>
      </c>
      <c r="D3" s="11">
        <v>453075</v>
      </c>
      <c r="E3" s="11">
        <v>77309</v>
      </c>
      <c r="F3" s="14">
        <v>97386</v>
      </c>
      <c r="G3" s="13">
        <v>297487</v>
      </c>
      <c r="H3" s="11">
        <v>145777</v>
      </c>
      <c r="I3" s="11">
        <v>9735</v>
      </c>
      <c r="J3" s="14">
        <v>79138</v>
      </c>
    </row>
    <row r="4" spans="1:10" x14ac:dyDescent="0.45">
      <c r="A4" s="8" t="s">
        <v>34</v>
      </c>
      <c r="B4" s="2" t="s">
        <v>0</v>
      </c>
      <c r="C4" s="19">
        <v>628261</v>
      </c>
      <c r="D4" s="16">
        <v>562642</v>
      </c>
      <c r="E4" s="16">
        <v>111890</v>
      </c>
      <c r="F4" s="18">
        <v>136347</v>
      </c>
      <c r="G4" s="19">
        <v>308025</v>
      </c>
      <c r="H4" s="16">
        <v>249872</v>
      </c>
      <c r="I4" s="16">
        <v>19312</v>
      </c>
      <c r="J4" s="18">
        <v>111146</v>
      </c>
    </row>
    <row r="5" spans="1:10" x14ac:dyDescent="0.45">
      <c r="A5" s="7">
        <v>11</v>
      </c>
      <c r="B5" s="1" t="s">
        <v>3</v>
      </c>
      <c r="C5" s="13">
        <v>259202</v>
      </c>
      <c r="D5" s="11">
        <v>118612</v>
      </c>
      <c r="E5" s="11">
        <v>2810</v>
      </c>
      <c r="F5" s="14">
        <v>47310</v>
      </c>
      <c r="G5" s="13">
        <v>133341</v>
      </c>
      <c r="H5" s="11">
        <v>37787</v>
      </c>
      <c r="I5" s="11">
        <v>137</v>
      </c>
      <c r="J5" s="14">
        <v>40686</v>
      </c>
    </row>
    <row r="6" spans="1:10" x14ac:dyDescent="0.45">
      <c r="A6" s="8">
        <v>12</v>
      </c>
      <c r="B6" s="2" t="s">
        <v>2</v>
      </c>
      <c r="C6" s="19">
        <v>122561</v>
      </c>
      <c r="D6" s="16">
        <v>101954</v>
      </c>
      <c r="E6" s="16">
        <v>27212</v>
      </c>
      <c r="F6" s="18">
        <v>26585</v>
      </c>
      <c r="G6" s="19">
        <v>45312</v>
      </c>
      <c r="H6" s="16">
        <v>42683</v>
      </c>
      <c r="I6" s="16">
        <v>1573</v>
      </c>
      <c r="J6" s="18">
        <v>18400</v>
      </c>
    </row>
    <row r="7" spans="1:10" x14ac:dyDescent="0.45">
      <c r="A7" s="7" t="s">
        <v>35</v>
      </c>
      <c r="B7" s="1" t="s">
        <v>4</v>
      </c>
      <c r="C7" s="13">
        <v>33228</v>
      </c>
      <c r="D7" s="11">
        <v>37303</v>
      </c>
      <c r="E7" s="11">
        <v>1775</v>
      </c>
      <c r="F7" s="14">
        <v>8758</v>
      </c>
      <c r="G7" s="13">
        <v>16508</v>
      </c>
      <c r="H7" s="11">
        <v>11427</v>
      </c>
      <c r="I7" s="11">
        <v>417</v>
      </c>
      <c r="J7" s="14">
        <v>7257</v>
      </c>
    </row>
    <row r="8" spans="1:10" x14ac:dyDescent="0.45">
      <c r="A8" s="8" t="s">
        <v>36</v>
      </c>
      <c r="B8" s="2" t="s">
        <v>5</v>
      </c>
      <c r="C8" s="19">
        <v>71987</v>
      </c>
      <c r="D8" s="16">
        <v>99388</v>
      </c>
      <c r="E8" s="16">
        <v>6436</v>
      </c>
      <c r="F8" s="18">
        <v>16039</v>
      </c>
      <c r="G8" s="19">
        <v>43582</v>
      </c>
      <c r="H8" s="16">
        <v>35415</v>
      </c>
      <c r="I8" s="16">
        <v>328</v>
      </c>
      <c r="J8" s="18">
        <v>13212</v>
      </c>
    </row>
    <row r="9" spans="1:10" x14ac:dyDescent="0.45">
      <c r="A9" s="7" t="s">
        <v>37</v>
      </c>
      <c r="B9" s="1" t="s">
        <v>65</v>
      </c>
      <c r="C9" s="13">
        <v>242522</v>
      </c>
      <c r="D9" s="11">
        <v>230863</v>
      </c>
      <c r="E9" s="11">
        <v>49186</v>
      </c>
      <c r="F9" s="14">
        <v>53627</v>
      </c>
      <c r="G9" s="13">
        <v>142900</v>
      </c>
      <c r="H9" s="11">
        <v>89436</v>
      </c>
      <c r="I9" s="11">
        <v>12192</v>
      </c>
      <c r="J9" s="14">
        <v>39901</v>
      </c>
    </row>
    <row r="10" spans="1:10" x14ac:dyDescent="0.45">
      <c r="A10" s="8">
        <v>13</v>
      </c>
      <c r="B10" s="2" t="s">
        <v>6</v>
      </c>
      <c r="C10" s="19">
        <v>58396</v>
      </c>
      <c r="D10" s="16">
        <v>55812</v>
      </c>
      <c r="E10" s="16">
        <v>5565</v>
      </c>
      <c r="F10" s="18">
        <v>28455</v>
      </c>
      <c r="G10" s="19">
        <v>22890</v>
      </c>
      <c r="H10" s="16">
        <v>28013</v>
      </c>
      <c r="I10" s="16">
        <v>950</v>
      </c>
      <c r="J10" s="18">
        <v>18718</v>
      </c>
    </row>
    <row r="11" spans="1:10" x14ac:dyDescent="0.45">
      <c r="A11" s="7" t="s">
        <v>38</v>
      </c>
      <c r="B11" s="1" t="s">
        <v>7</v>
      </c>
      <c r="C11" s="13">
        <v>367362</v>
      </c>
      <c r="D11" s="11">
        <v>315766</v>
      </c>
      <c r="E11" s="11">
        <v>63459</v>
      </c>
      <c r="F11" s="14">
        <v>104459</v>
      </c>
      <c r="G11" s="13">
        <v>187183</v>
      </c>
      <c r="H11" s="11">
        <v>108180</v>
      </c>
      <c r="I11" s="11">
        <v>33615</v>
      </c>
      <c r="J11" s="14">
        <v>86554</v>
      </c>
    </row>
    <row r="12" spans="1:10" x14ac:dyDescent="0.45">
      <c r="A12" s="8" t="s">
        <v>39</v>
      </c>
      <c r="B12" s="2" t="s">
        <v>8</v>
      </c>
      <c r="C12" s="19">
        <v>635657</v>
      </c>
      <c r="D12" s="16">
        <v>853103</v>
      </c>
      <c r="E12" s="16">
        <v>35175</v>
      </c>
      <c r="F12" s="18">
        <v>200895</v>
      </c>
      <c r="G12" s="19">
        <v>292396</v>
      </c>
      <c r="H12" s="16">
        <v>327024</v>
      </c>
      <c r="I12" s="16">
        <v>16562</v>
      </c>
      <c r="J12" s="18">
        <v>154149</v>
      </c>
    </row>
    <row r="13" spans="1:10" x14ac:dyDescent="0.45">
      <c r="A13" s="7" t="s">
        <v>40</v>
      </c>
      <c r="B13" s="1" t="s">
        <v>12</v>
      </c>
      <c r="C13" s="13">
        <v>195874</v>
      </c>
      <c r="D13" s="11">
        <v>206317</v>
      </c>
      <c r="E13" s="11">
        <v>15044</v>
      </c>
      <c r="F13" s="14">
        <v>46548</v>
      </c>
      <c r="G13" s="13">
        <v>102284</v>
      </c>
      <c r="H13" s="11">
        <v>60002</v>
      </c>
      <c r="I13" s="11">
        <v>700</v>
      </c>
      <c r="J13" s="14">
        <v>32976</v>
      </c>
    </row>
    <row r="14" spans="1:10" x14ac:dyDescent="0.45">
      <c r="A14" s="8">
        <v>10</v>
      </c>
      <c r="B14" s="2" t="s">
        <v>13</v>
      </c>
      <c r="C14" s="19">
        <v>60128</v>
      </c>
      <c r="D14" s="16">
        <v>40807</v>
      </c>
      <c r="E14" s="16">
        <v>6997</v>
      </c>
      <c r="F14" s="18">
        <v>14095</v>
      </c>
      <c r="G14" s="19">
        <v>26277</v>
      </c>
      <c r="H14" s="16">
        <v>9296</v>
      </c>
      <c r="I14" s="16">
        <v>43</v>
      </c>
      <c r="J14" s="18">
        <v>9641</v>
      </c>
    </row>
    <row r="15" spans="1:10" x14ac:dyDescent="0.45">
      <c r="A15" s="7">
        <v>14</v>
      </c>
      <c r="B15" s="1" t="s">
        <v>9</v>
      </c>
      <c r="C15" s="13">
        <v>132944</v>
      </c>
      <c r="D15" s="11">
        <v>128484</v>
      </c>
      <c r="E15" s="11">
        <v>25317</v>
      </c>
      <c r="F15" s="14">
        <v>33995</v>
      </c>
      <c r="G15" s="13">
        <v>106092</v>
      </c>
      <c r="H15" s="11">
        <v>69266</v>
      </c>
      <c r="I15" s="11">
        <v>10378</v>
      </c>
      <c r="J15" s="14">
        <v>23506</v>
      </c>
    </row>
    <row r="16" spans="1:10" x14ac:dyDescent="0.45">
      <c r="A16" s="8">
        <v>15</v>
      </c>
      <c r="B16" s="2" t="s">
        <v>10</v>
      </c>
      <c r="C16" s="19">
        <v>94971</v>
      </c>
      <c r="D16" s="16">
        <v>85727</v>
      </c>
      <c r="E16" s="16">
        <v>15525</v>
      </c>
      <c r="F16" s="18">
        <v>34862</v>
      </c>
      <c r="G16" s="19">
        <v>38985</v>
      </c>
      <c r="H16" s="16">
        <v>34554</v>
      </c>
      <c r="I16" s="16">
        <v>4297</v>
      </c>
      <c r="J16" s="18">
        <v>23774</v>
      </c>
    </row>
    <row r="17" spans="1:11" x14ac:dyDescent="0.45">
      <c r="A17" s="7" t="s">
        <v>41</v>
      </c>
      <c r="B17" s="1" t="s">
        <v>11</v>
      </c>
      <c r="C17" s="13">
        <v>158898</v>
      </c>
      <c r="D17" s="11">
        <v>118524</v>
      </c>
      <c r="E17" s="11">
        <v>20220</v>
      </c>
      <c r="F17" s="14">
        <v>63330</v>
      </c>
      <c r="G17" s="13">
        <v>46094</v>
      </c>
      <c r="H17" s="11">
        <v>38301</v>
      </c>
      <c r="I17" s="11">
        <v>8971</v>
      </c>
      <c r="J17" s="14">
        <v>43978</v>
      </c>
      <c r="K17" s="31"/>
    </row>
    <row r="18" spans="1:11" x14ac:dyDescent="0.45">
      <c r="A18" s="8">
        <v>16</v>
      </c>
      <c r="B18" s="2" t="s">
        <v>14</v>
      </c>
      <c r="C18" s="16">
        <v>116977</v>
      </c>
      <c r="D18" s="16">
        <v>83525</v>
      </c>
      <c r="E18" s="16">
        <v>28279</v>
      </c>
      <c r="F18" s="18">
        <v>28319</v>
      </c>
      <c r="G18" s="16">
        <v>61340</v>
      </c>
      <c r="H18" s="16">
        <v>39713</v>
      </c>
      <c r="I18" s="16">
        <v>4462</v>
      </c>
      <c r="J18" s="18">
        <v>20687</v>
      </c>
    </row>
    <row r="19" spans="1:11" s="31" customFormat="1" x14ac:dyDescent="0.45">
      <c r="A19" s="7"/>
      <c r="B19" s="1" t="s">
        <v>59</v>
      </c>
      <c r="C19" s="13" t="s">
        <v>71</v>
      </c>
      <c r="D19" s="11">
        <v>6960</v>
      </c>
      <c r="E19" s="11" t="s">
        <v>71</v>
      </c>
      <c r="F19" s="14" t="s">
        <v>71</v>
      </c>
      <c r="G19" s="13" t="s">
        <v>71</v>
      </c>
      <c r="H19" s="11">
        <v>20</v>
      </c>
      <c r="I19" s="11" t="s">
        <v>71</v>
      </c>
      <c r="J19" s="14" t="s">
        <v>71</v>
      </c>
    </row>
    <row r="20" spans="1:11" x14ac:dyDescent="0.45">
      <c r="A20" s="42"/>
      <c r="B20" s="43" t="s">
        <v>19</v>
      </c>
      <c r="C20" s="47">
        <v>3674548</v>
      </c>
      <c r="D20" s="48">
        <v>3498862</v>
      </c>
      <c r="E20" s="48">
        <v>492199</v>
      </c>
      <c r="F20" s="49">
        <v>941010</v>
      </c>
      <c r="G20" s="47">
        <v>1870696</v>
      </c>
      <c r="H20" s="48">
        <v>1326766</v>
      </c>
      <c r="I20" s="48">
        <v>123672</v>
      </c>
      <c r="J20" s="49">
        <v>723723</v>
      </c>
    </row>
    <row r="22" spans="1:11" x14ac:dyDescent="0.45">
      <c r="A22" s="5" t="s">
        <v>27</v>
      </c>
    </row>
    <row r="23" spans="1:11" x14ac:dyDescent="0.45">
      <c r="A23" s="5" t="s">
        <v>28</v>
      </c>
    </row>
    <row r="24" spans="1:11" ht="14.25" customHeight="1" x14ac:dyDescent="0.45">
      <c r="A24" s="5" t="s">
        <v>43</v>
      </c>
    </row>
    <row r="25" spans="1:11" ht="46.5" customHeight="1" x14ac:dyDescent="0.45">
      <c r="A25" s="62" t="s">
        <v>63</v>
      </c>
      <c r="B25" s="62"/>
      <c r="C25" s="62"/>
      <c r="D25" s="62"/>
      <c r="E25" s="62"/>
      <c r="F25" s="62"/>
      <c r="G25" s="62"/>
      <c r="H25" s="62"/>
      <c r="I25" s="62"/>
      <c r="J25" s="62"/>
    </row>
    <row r="26" spans="1:11" x14ac:dyDescent="0.45">
      <c r="A26" s="5" t="s">
        <v>66</v>
      </c>
    </row>
    <row r="28" spans="1:11" x14ac:dyDescent="0.45">
      <c r="C28" s="9"/>
    </row>
  </sheetData>
  <mergeCells count="5">
    <mergeCell ref="G1:J1"/>
    <mergeCell ref="B1:B2"/>
    <mergeCell ref="A1:A2"/>
    <mergeCell ref="C1:F1"/>
    <mergeCell ref="A25:J25"/>
  </mergeCells>
  <pageMargins left="0.7" right="0.7" top="0.78740157499999996" bottom="0.78740157499999996" header="0.3" footer="0.3"/>
  <pageSetup paperSize="9" orientation="portrait" horizontalDpi="90" verticalDpi="90" r:id="rId1"/>
  <ignoredErrors>
    <ignoredError sqref="A3 A4:A17"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B42D2-7956-44E7-BD5B-5AF896796AC0}">
  <dimension ref="A1:D97"/>
  <sheetViews>
    <sheetView workbookViewId="0">
      <selection activeCell="F1" sqref="F1"/>
    </sheetView>
  </sheetViews>
  <sheetFormatPr baseColWidth="10" defaultRowHeight="14.25" x14ac:dyDescent="0.45"/>
  <cols>
    <col min="1" max="1" width="19.59765625" customWidth="1"/>
    <col min="2" max="2" width="13" customWidth="1"/>
    <col min="3" max="3" width="13.3984375" customWidth="1"/>
    <col min="4" max="4" width="16.265625" customWidth="1"/>
  </cols>
  <sheetData>
    <row r="1" spans="1:4" ht="46.5" customHeight="1" x14ac:dyDescent="0.45">
      <c r="A1" s="36" t="s">
        <v>29</v>
      </c>
      <c r="B1" s="6" t="s">
        <v>44</v>
      </c>
      <c r="C1" s="6" t="s">
        <v>45</v>
      </c>
      <c r="D1" s="35" t="s">
        <v>51</v>
      </c>
    </row>
    <row r="2" spans="1:4" x14ac:dyDescent="0.45">
      <c r="A2" s="37">
        <v>44192</v>
      </c>
      <c r="B2" s="32">
        <v>23711</v>
      </c>
      <c r="C2" s="32">
        <v>0</v>
      </c>
      <c r="D2" s="32">
        <v>23711</v>
      </c>
    </row>
    <row r="3" spans="1:4" x14ac:dyDescent="0.45">
      <c r="A3" s="37">
        <v>44193</v>
      </c>
      <c r="B3" s="32">
        <v>18737</v>
      </c>
      <c r="C3" s="32">
        <v>0</v>
      </c>
      <c r="D3" s="32">
        <v>18737</v>
      </c>
    </row>
    <row r="4" spans="1:4" x14ac:dyDescent="0.45">
      <c r="A4" s="37">
        <v>44194</v>
      </c>
      <c r="B4" s="32">
        <v>42820</v>
      </c>
      <c r="C4" s="32">
        <v>0</v>
      </c>
      <c r="D4" s="32">
        <v>42820</v>
      </c>
    </row>
    <row r="5" spans="1:4" x14ac:dyDescent="0.45">
      <c r="A5" s="37">
        <v>44195</v>
      </c>
      <c r="B5" s="32">
        <v>57834</v>
      </c>
      <c r="C5" s="32">
        <v>0</v>
      </c>
      <c r="D5" s="32">
        <v>57834</v>
      </c>
    </row>
    <row r="6" spans="1:4" x14ac:dyDescent="0.45">
      <c r="A6" s="37">
        <v>44196</v>
      </c>
      <c r="B6" s="32">
        <v>38867</v>
      </c>
      <c r="C6" s="32">
        <v>0</v>
      </c>
      <c r="D6" s="32">
        <v>38867</v>
      </c>
    </row>
    <row r="7" spans="1:4" x14ac:dyDescent="0.45">
      <c r="A7" s="37">
        <v>44197</v>
      </c>
      <c r="B7" s="32">
        <v>24666</v>
      </c>
      <c r="C7" s="32">
        <v>0</v>
      </c>
      <c r="D7" s="32">
        <v>24666</v>
      </c>
    </row>
    <row r="8" spans="1:4" x14ac:dyDescent="0.45">
      <c r="A8" s="37">
        <v>44198</v>
      </c>
      <c r="B8" s="32">
        <v>52189</v>
      </c>
      <c r="C8" s="32">
        <v>0</v>
      </c>
      <c r="D8" s="32">
        <v>52189</v>
      </c>
    </row>
    <row r="9" spans="1:4" x14ac:dyDescent="0.45">
      <c r="A9" s="37">
        <v>44199</v>
      </c>
      <c r="B9" s="32">
        <v>24989</v>
      </c>
      <c r="C9" s="32">
        <v>0</v>
      </c>
      <c r="D9" s="32">
        <v>24989</v>
      </c>
    </row>
    <row r="10" spans="1:4" x14ac:dyDescent="0.45">
      <c r="A10" s="37">
        <v>44200</v>
      </c>
      <c r="B10" s="32">
        <v>48713</v>
      </c>
      <c r="C10" s="32">
        <v>0</v>
      </c>
      <c r="D10" s="32">
        <v>48713</v>
      </c>
    </row>
    <row r="11" spans="1:4" x14ac:dyDescent="0.45">
      <c r="A11" s="37">
        <v>44201</v>
      </c>
      <c r="B11" s="32">
        <v>52392</v>
      </c>
      <c r="C11" s="32">
        <v>0</v>
      </c>
      <c r="D11" s="32">
        <v>52392</v>
      </c>
    </row>
    <row r="12" spans="1:4" x14ac:dyDescent="0.45">
      <c r="A12" s="37">
        <v>44202</v>
      </c>
      <c r="B12" s="32">
        <v>59362</v>
      </c>
      <c r="C12" s="32">
        <v>0</v>
      </c>
      <c r="D12" s="32">
        <v>59362</v>
      </c>
    </row>
    <row r="13" spans="1:4" x14ac:dyDescent="0.45">
      <c r="A13" s="37">
        <v>44203</v>
      </c>
      <c r="B13" s="32">
        <v>58411</v>
      </c>
      <c r="C13" s="32">
        <v>0</v>
      </c>
      <c r="D13" s="32">
        <v>58411</v>
      </c>
    </row>
    <row r="14" spans="1:4" x14ac:dyDescent="0.45">
      <c r="A14" s="37">
        <v>44204</v>
      </c>
      <c r="B14" s="32">
        <v>60855</v>
      </c>
      <c r="C14" s="32">
        <v>0</v>
      </c>
      <c r="D14" s="32">
        <v>60855</v>
      </c>
    </row>
    <row r="15" spans="1:4" x14ac:dyDescent="0.45">
      <c r="A15" s="37">
        <v>44205</v>
      </c>
      <c r="B15" s="32">
        <v>56984</v>
      </c>
      <c r="C15" s="32">
        <v>0</v>
      </c>
      <c r="D15" s="32">
        <v>56984</v>
      </c>
    </row>
    <row r="16" spans="1:4" x14ac:dyDescent="0.45">
      <c r="A16" s="37">
        <v>44206</v>
      </c>
      <c r="B16" s="32">
        <v>33458</v>
      </c>
      <c r="C16" s="32">
        <v>0</v>
      </c>
      <c r="D16" s="32">
        <v>33458</v>
      </c>
    </row>
    <row r="17" spans="1:4" x14ac:dyDescent="0.45">
      <c r="A17" s="37">
        <v>44207</v>
      </c>
      <c r="B17" s="32">
        <v>65971</v>
      </c>
      <c r="C17" s="32">
        <v>0</v>
      </c>
      <c r="D17" s="32">
        <v>65971</v>
      </c>
    </row>
    <row r="18" spans="1:4" x14ac:dyDescent="0.45">
      <c r="A18" s="37">
        <v>44208</v>
      </c>
      <c r="B18" s="32">
        <v>81822</v>
      </c>
      <c r="C18" s="32">
        <v>0</v>
      </c>
      <c r="D18" s="32">
        <v>81822</v>
      </c>
    </row>
    <row r="19" spans="1:4" x14ac:dyDescent="0.45">
      <c r="A19" s="37">
        <v>44209</v>
      </c>
      <c r="B19" s="32">
        <v>99285</v>
      </c>
      <c r="C19" s="32">
        <v>0</v>
      </c>
      <c r="D19" s="32">
        <v>99285</v>
      </c>
    </row>
    <row r="20" spans="1:4" x14ac:dyDescent="0.45">
      <c r="A20" s="37">
        <v>44210</v>
      </c>
      <c r="B20" s="32">
        <v>99901</v>
      </c>
      <c r="C20" s="32">
        <v>114</v>
      </c>
      <c r="D20" s="32">
        <v>100015</v>
      </c>
    </row>
    <row r="21" spans="1:4" x14ac:dyDescent="0.45">
      <c r="A21" s="37">
        <v>44211</v>
      </c>
      <c r="B21" s="32">
        <v>92323</v>
      </c>
      <c r="C21" s="32">
        <v>431</v>
      </c>
      <c r="D21" s="32">
        <v>92754</v>
      </c>
    </row>
    <row r="22" spans="1:4" x14ac:dyDescent="0.45">
      <c r="A22" s="37">
        <v>44212</v>
      </c>
      <c r="B22" s="32">
        <v>56755</v>
      </c>
      <c r="C22" s="32">
        <v>400</v>
      </c>
      <c r="D22" s="32">
        <v>57155</v>
      </c>
    </row>
    <row r="23" spans="1:4" x14ac:dyDescent="0.45">
      <c r="A23" s="37">
        <v>44213</v>
      </c>
      <c r="B23" s="32">
        <v>30691</v>
      </c>
      <c r="C23" s="32">
        <v>13694</v>
      </c>
      <c r="D23" s="32">
        <v>44385</v>
      </c>
    </row>
    <row r="24" spans="1:4" x14ac:dyDescent="0.45">
      <c r="A24" s="37">
        <v>44214</v>
      </c>
      <c r="B24" s="32">
        <v>58102</v>
      </c>
      <c r="C24" s="32">
        <v>16371</v>
      </c>
      <c r="D24" s="32">
        <v>74473</v>
      </c>
    </row>
    <row r="25" spans="1:4" x14ac:dyDescent="0.45">
      <c r="A25" s="37">
        <v>44215</v>
      </c>
      <c r="B25" s="32">
        <v>68700</v>
      </c>
      <c r="C25" s="32">
        <v>27217</v>
      </c>
      <c r="D25" s="32">
        <v>95917</v>
      </c>
    </row>
    <row r="26" spans="1:4" x14ac:dyDescent="0.45">
      <c r="A26" s="37">
        <v>44216</v>
      </c>
      <c r="B26" s="32">
        <v>78616</v>
      </c>
      <c r="C26" s="32">
        <v>50636</v>
      </c>
      <c r="D26" s="32">
        <v>129252</v>
      </c>
    </row>
    <row r="27" spans="1:4" x14ac:dyDescent="0.45">
      <c r="A27" s="37">
        <v>44217</v>
      </c>
      <c r="B27" s="32">
        <v>61098</v>
      </c>
      <c r="C27" s="32">
        <v>35428</v>
      </c>
      <c r="D27" s="32">
        <v>96526</v>
      </c>
    </row>
    <row r="28" spans="1:4" x14ac:dyDescent="0.45">
      <c r="A28" s="37">
        <v>44218</v>
      </c>
      <c r="B28" s="32">
        <v>84473</v>
      </c>
      <c r="C28" s="32">
        <v>31394</v>
      </c>
      <c r="D28" s="32">
        <v>115867</v>
      </c>
    </row>
    <row r="29" spans="1:4" x14ac:dyDescent="0.45">
      <c r="A29" s="37">
        <v>44219</v>
      </c>
      <c r="B29" s="32">
        <v>49315</v>
      </c>
      <c r="C29" s="32">
        <v>43998</v>
      </c>
      <c r="D29" s="32">
        <v>93313</v>
      </c>
    </row>
    <row r="30" spans="1:4" x14ac:dyDescent="0.45">
      <c r="A30" s="37">
        <v>44220</v>
      </c>
      <c r="B30" s="32">
        <v>38029</v>
      </c>
      <c r="C30" s="32">
        <v>28091</v>
      </c>
      <c r="D30" s="32">
        <v>66120</v>
      </c>
    </row>
    <row r="31" spans="1:4" x14ac:dyDescent="0.45">
      <c r="A31" s="37">
        <v>44221</v>
      </c>
      <c r="B31" s="32">
        <v>58213</v>
      </c>
      <c r="C31" s="32">
        <v>39693</v>
      </c>
      <c r="D31" s="32">
        <v>97906</v>
      </c>
    </row>
    <row r="32" spans="1:4" x14ac:dyDescent="0.45">
      <c r="A32" s="37">
        <v>44222</v>
      </c>
      <c r="B32" s="32">
        <v>53454</v>
      </c>
      <c r="C32" s="32">
        <v>49350</v>
      </c>
      <c r="D32" s="32">
        <v>102804</v>
      </c>
    </row>
    <row r="33" spans="1:4" x14ac:dyDescent="0.45">
      <c r="A33" s="37">
        <v>44223</v>
      </c>
      <c r="B33" s="32">
        <v>53807</v>
      </c>
      <c r="C33" s="32">
        <v>59387</v>
      </c>
      <c r="D33" s="32">
        <v>113194</v>
      </c>
    </row>
    <row r="34" spans="1:4" x14ac:dyDescent="0.45">
      <c r="A34" s="37">
        <v>44224</v>
      </c>
      <c r="B34" s="32">
        <v>51739</v>
      </c>
      <c r="C34" s="32">
        <v>48461</v>
      </c>
      <c r="D34" s="32">
        <v>100200</v>
      </c>
    </row>
    <row r="35" spans="1:4" x14ac:dyDescent="0.45">
      <c r="A35" s="37">
        <v>44225</v>
      </c>
      <c r="B35" s="32">
        <v>55978</v>
      </c>
      <c r="C35" s="32">
        <v>53964</v>
      </c>
      <c r="D35" s="32">
        <v>109942</v>
      </c>
    </row>
    <row r="36" spans="1:4" x14ac:dyDescent="0.45">
      <c r="A36" s="37">
        <v>44226</v>
      </c>
      <c r="B36" s="32">
        <v>39452</v>
      </c>
      <c r="C36" s="32">
        <v>48555</v>
      </c>
      <c r="D36" s="32">
        <v>88007</v>
      </c>
    </row>
    <row r="37" spans="1:4" x14ac:dyDescent="0.45">
      <c r="A37" s="37">
        <v>44227</v>
      </c>
      <c r="B37" s="32">
        <v>31321</v>
      </c>
      <c r="C37" s="32">
        <v>31443</v>
      </c>
      <c r="D37" s="32">
        <v>62764</v>
      </c>
    </row>
    <row r="38" spans="1:4" x14ac:dyDescent="0.45">
      <c r="A38" s="37">
        <v>44228</v>
      </c>
      <c r="B38" s="32">
        <v>50559</v>
      </c>
      <c r="C38" s="32">
        <v>65727</v>
      </c>
      <c r="D38" s="32">
        <v>116286</v>
      </c>
    </row>
    <row r="39" spans="1:4" x14ac:dyDescent="0.45">
      <c r="A39" s="37">
        <v>44229</v>
      </c>
      <c r="B39" s="32">
        <v>58456</v>
      </c>
      <c r="C39" s="32">
        <v>69738</v>
      </c>
      <c r="D39" s="32">
        <v>128194</v>
      </c>
    </row>
    <row r="40" spans="1:4" x14ac:dyDescent="0.45">
      <c r="A40" s="37">
        <v>44230</v>
      </c>
      <c r="B40" s="32">
        <v>58340</v>
      </c>
      <c r="C40" s="32">
        <v>85325</v>
      </c>
      <c r="D40" s="32">
        <v>143665</v>
      </c>
    </row>
    <row r="41" spans="1:4" x14ac:dyDescent="0.45">
      <c r="A41" s="37">
        <v>44231</v>
      </c>
      <c r="B41" s="32">
        <v>63761</v>
      </c>
      <c r="C41" s="32">
        <v>72986</v>
      </c>
      <c r="D41" s="32">
        <v>136747</v>
      </c>
    </row>
    <row r="42" spans="1:4" x14ac:dyDescent="0.45">
      <c r="A42" s="37">
        <v>44232</v>
      </c>
      <c r="B42" s="32">
        <v>60521</v>
      </c>
      <c r="C42" s="32">
        <v>74077</v>
      </c>
      <c r="D42" s="32">
        <v>134598</v>
      </c>
    </row>
    <row r="43" spans="1:4" x14ac:dyDescent="0.45">
      <c r="A43" s="37">
        <v>44233</v>
      </c>
      <c r="B43" s="32">
        <v>49352</v>
      </c>
      <c r="C43" s="32">
        <v>55669</v>
      </c>
      <c r="D43" s="32">
        <v>105021</v>
      </c>
    </row>
    <row r="44" spans="1:4" x14ac:dyDescent="0.45">
      <c r="A44" s="37">
        <v>44234</v>
      </c>
      <c r="B44" s="32">
        <v>33521</v>
      </c>
      <c r="C44" s="32">
        <v>26853</v>
      </c>
      <c r="D44" s="32">
        <v>60374</v>
      </c>
    </row>
    <row r="45" spans="1:4" x14ac:dyDescent="0.45">
      <c r="A45" s="37">
        <v>44235</v>
      </c>
      <c r="B45" s="32">
        <v>54905</v>
      </c>
      <c r="C45" s="32">
        <v>52129</v>
      </c>
      <c r="D45" s="32">
        <v>107034</v>
      </c>
    </row>
    <row r="46" spans="1:4" x14ac:dyDescent="0.45">
      <c r="A46" s="37">
        <v>44236</v>
      </c>
      <c r="B46" s="32">
        <v>59865</v>
      </c>
      <c r="C46" s="32">
        <v>65697</v>
      </c>
      <c r="D46" s="32">
        <v>125562</v>
      </c>
    </row>
    <row r="47" spans="1:4" x14ac:dyDescent="0.45">
      <c r="A47" s="37">
        <v>44237</v>
      </c>
      <c r="B47" s="32">
        <v>75552</v>
      </c>
      <c r="C47" s="32">
        <v>77976</v>
      </c>
      <c r="D47" s="32">
        <v>153528</v>
      </c>
    </row>
    <row r="48" spans="1:4" x14ac:dyDescent="0.45">
      <c r="A48" s="37">
        <v>44238</v>
      </c>
      <c r="B48" s="32">
        <v>71727</v>
      </c>
      <c r="C48" s="32">
        <v>72084</v>
      </c>
      <c r="D48" s="32">
        <v>143811</v>
      </c>
    </row>
    <row r="49" spans="1:4" x14ac:dyDescent="0.45">
      <c r="A49" s="37">
        <v>44239</v>
      </c>
      <c r="B49" s="32">
        <v>80429</v>
      </c>
      <c r="C49" s="32">
        <v>78829</v>
      </c>
      <c r="D49" s="32">
        <v>159258</v>
      </c>
    </row>
    <row r="50" spans="1:4" x14ac:dyDescent="0.45">
      <c r="A50" s="37">
        <v>44240</v>
      </c>
      <c r="B50" s="32">
        <v>63776</v>
      </c>
      <c r="C50" s="32">
        <v>47140</v>
      </c>
      <c r="D50" s="32">
        <v>110916</v>
      </c>
    </row>
    <row r="51" spans="1:4" x14ac:dyDescent="0.45">
      <c r="A51" s="37">
        <v>44241</v>
      </c>
      <c r="B51" s="32">
        <v>39809</v>
      </c>
      <c r="C51" s="32">
        <v>26606</v>
      </c>
      <c r="D51" s="32">
        <v>66415</v>
      </c>
    </row>
    <row r="52" spans="1:4" x14ac:dyDescent="0.45">
      <c r="A52" s="37">
        <v>44242</v>
      </c>
      <c r="B52" s="32">
        <v>70868</v>
      </c>
      <c r="C52" s="32">
        <v>56112</v>
      </c>
      <c r="D52" s="32">
        <v>126980</v>
      </c>
    </row>
    <row r="53" spans="1:4" s="31" customFormat="1" x14ac:dyDescent="0.45">
      <c r="A53" s="37">
        <v>44243</v>
      </c>
      <c r="B53" s="32">
        <v>81608</v>
      </c>
      <c r="C53" s="32">
        <v>53980</v>
      </c>
      <c r="D53" s="32">
        <v>135588</v>
      </c>
    </row>
    <row r="54" spans="1:4" s="31" customFormat="1" x14ac:dyDescent="0.45">
      <c r="A54" s="37">
        <v>44244</v>
      </c>
      <c r="B54" s="32">
        <v>95622</v>
      </c>
      <c r="C54" s="32">
        <v>54710</v>
      </c>
      <c r="D54" s="32">
        <v>150332</v>
      </c>
    </row>
    <row r="55" spans="1:4" x14ac:dyDescent="0.45">
      <c r="A55" s="37">
        <v>44245</v>
      </c>
      <c r="B55" s="32">
        <v>93970</v>
      </c>
      <c r="C55" s="32">
        <v>52812</v>
      </c>
      <c r="D55" s="32">
        <v>146782</v>
      </c>
    </row>
    <row r="56" spans="1:4" s="31" customFormat="1" x14ac:dyDescent="0.45">
      <c r="A56" s="37">
        <v>44246</v>
      </c>
      <c r="B56" s="32">
        <v>98177</v>
      </c>
      <c r="C56" s="32">
        <v>53282</v>
      </c>
      <c r="D56" s="32">
        <v>151459</v>
      </c>
    </row>
    <row r="57" spans="1:4" s="31" customFormat="1" x14ac:dyDescent="0.45">
      <c r="A57" s="37">
        <v>44247</v>
      </c>
      <c r="B57" s="32">
        <v>75335</v>
      </c>
      <c r="C57" s="32">
        <v>37659</v>
      </c>
      <c r="D57" s="32">
        <v>112994</v>
      </c>
    </row>
    <row r="58" spans="1:4" s="31" customFormat="1" x14ac:dyDescent="0.45">
      <c r="A58" s="37">
        <v>44248</v>
      </c>
      <c r="B58" s="32">
        <v>56545</v>
      </c>
      <c r="C58" s="32">
        <v>29063</v>
      </c>
      <c r="D58" s="32">
        <v>85608</v>
      </c>
    </row>
    <row r="59" spans="1:4" s="31" customFormat="1" x14ac:dyDescent="0.45">
      <c r="A59" s="37">
        <v>44249</v>
      </c>
      <c r="B59" s="32">
        <v>99674</v>
      </c>
      <c r="C59" s="32">
        <v>53105</v>
      </c>
      <c r="D59" s="32">
        <v>152779</v>
      </c>
    </row>
    <row r="60" spans="1:4" s="31" customFormat="1" x14ac:dyDescent="0.45">
      <c r="A60" s="37">
        <v>44250</v>
      </c>
      <c r="B60" s="32">
        <v>104886</v>
      </c>
      <c r="C60" s="32">
        <v>56605</v>
      </c>
      <c r="D60" s="32">
        <v>161491</v>
      </c>
    </row>
    <row r="61" spans="1:4" s="31" customFormat="1" x14ac:dyDescent="0.45">
      <c r="A61" s="37">
        <v>44251</v>
      </c>
      <c r="B61" s="32">
        <v>115027</v>
      </c>
      <c r="C61" s="32">
        <v>58151</v>
      </c>
      <c r="D61" s="32">
        <v>173178</v>
      </c>
    </row>
    <row r="62" spans="1:4" s="31" customFormat="1" x14ac:dyDescent="0.45">
      <c r="A62" s="37">
        <v>44252</v>
      </c>
      <c r="B62" s="32">
        <v>127647</v>
      </c>
      <c r="C62" s="32">
        <v>53202</v>
      </c>
      <c r="D62" s="32">
        <v>180849</v>
      </c>
    </row>
    <row r="63" spans="1:4" s="31" customFormat="1" x14ac:dyDescent="0.45">
      <c r="A63" s="37">
        <v>44253</v>
      </c>
      <c r="B63" s="32">
        <v>137514</v>
      </c>
      <c r="C63" s="32">
        <v>59470</v>
      </c>
      <c r="D63" s="32">
        <v>196984</v>
      </c>
    </row>
    <row r="64" spans="1:4" s="31" customFormat="1" x14ac:dyDescent="0.45">
      <c r="A64" s="37">
        <v>44254</v>
      </c>
      <c r="B64" s="32">
        <v>109176</v>
      </c>
      <c r="C64" s="32">
        <v>38760</v>
      </c>
      <c r="D64" s="32">
        <v>147936</v>
      </c>
    </row>
    <row r="65" spans="1:4" s="31" customFormat="1" x14ac:dyDescent="0.45">
      <c r="A65" s="37">
        <v>44255</v>
      </c>
      <c r="B65" s="32">
        <v>84507</v>
      </c>
      <c r="C65" s="32">
        <v>28164</v>
      </c>
      <c r="D65" s="32">
        <v>112671</v>
      </c>
    </row>
    <row r="66" spans="1:4" x14ac:dyDescent="0.45">
      <c r="A66" s="37">
        <v>44256</v>
      </c>
      <c r="B66" s="32">
        <v>141607</v>
      </c>
      <c r="C66" s="32">
        <v>50433</v>
      </c>
      <c r="D66" s="32">
        <v>192040</v>
      </c>
    </row>
    <row r="67" spans="1:4" x14ac:dyDescent="0.45">
      <c r="A67" s="37">
        <v>44257</v>
      </c>
      <c r="B67" s="32">
        <v>162161</v>
      </c>
      <c r="C67" s="32">
        <v>55847</v>
      </c>
      <c r="D67" s="32">
        <v>218008</v>
      </c>
    </row>
    <row r="68" spans="1:4" x14ac:dyDescent="0.45">
      <c r="A68" s="37">
        <v>44258</v>
      </c>
      <c r="B68" s="32">
        <v>174436</v>
      </c>
      <c r="C68" s="32">
        <v>67836</v>
      </c>
      <c r="D68" s="32">
        <v>242272</v>
      </c>
    </row>
    <row r="69" spans="1:4" x14ac:dyDescent="0.45">
      <c r="A69" s="37">
        <v>44259</v>
      </c>
      <c r="B69" s="32">
        <v>177634</v>
      </c>
      <c r="C69" s="32">
        <v>62957</v>
      </c>
      <c r="D69" s="32">
        <v>240591</v>
      </c>
    </row>
    <row r="70" spans="1:4" x14ac:dyDescent="0.45">
      <c r="A70" s="37">
        <v>44260</v>
      </c>
      <c r="B70" s="32">
        <v>188588</v>
      </c>
      <c r="C70" s="32">
        <v>63524</v>
      </c>
      <c r="D70" s="32">
        <v>252112</v>
      </c>
    </row>
    <row r="71" spans="1:4" s="31" customFormat="1" x14ac:dyDescent="0.45">
      <c r="A71" s="37">
        <v>44261</v>
      </c>
      <c r="B71" s="32">
        <v>146850</v>
      </c>
      <c r="C71" s="32">
        <v>47347</v>
      </c>
      <c r="D71" s="32">
        <v>194197</v>
      </c>
    </row>
    <row r="72" spans="1:4" s="31" customFormat="1" x14ac:dyDescent="0.45">
      <c r="A72" s="37">
        <v>44262</v>
      </c>
      <c r="B72" s="32">
        <v>113745</v>
      </c>
      <c r="C72" s="32">
        <v>34533</v>
      </c>
      <c r="D72" s="32">
        <v>148278</v>
      </c>
    </row>
    <row r="73" spans="1:4" s="31" customFormat="1" x14ac:dyDescent="0.45">
      <c r="A73" s="37">
        <v>44263</v>
      </c>
      <c r="B73" s="50">
        <v>178547</v>
      </c>
      <c r="C73" s="50">
        <v>53457</v>
      </c>
      <c r="D73" s="50">
        <v>232004</v>
      </c>
    </row>
    <row r="74" spans="1:4" s="31" customFormat="1" x14ac:dyDescent="0.45">
      <c r="A74" s="37">
        <v>44264</v>
      </c>
      <c r="B74" s="50">
        <v>193156</v>
      </c>
      <c r="C74" s="50">
        <v>55089</v>
      </c>
      <c r="D74" s="50">
        <v>248245</v>
      </c>
    </row>
    <row r="75" spans="1:4" s="31" customFormat="1" x14ac:dyDescent="0.45">
      <c r="A75" s="37">
        <v>44265</v>
      </c>
      <c r="B75" s="50">
        <v>212493</v>
      </c>
      <c r="C75" s="50">
        <v>67667</v>
      </c>
      <c r="D75" s="50">
        <v>280160</v>
      </c>
    </row>
    <row r="76" spans="1:4" s="31" customFormat="1" x14ac:dyDescent="0.45">
      <c r="A76" s="37">
        <v>44266</v>
      </c>
      <c r="B76" s="50">
        <v>226183</v>
      </c>
      <c r="C76" s="50">
        <v>62958</v>
      </c>
      <c r="D76" s="50">
        <v>289141</v>
      </c>
    </row>
    <row r="77" spans="1:4" s="31" customFormat="1" x14ac:dyDescent="0.45">
      <c r="A77" s="37">
        <v>44267</v>
      </c>
      <c r="B77" s="50">
        <v>234896</v>
      </c>
      <c r="C77" s="50">
        <v>69424</v>
      </c>
      <c r="D77" s="50">
        <v>304320</v>
      </c>
    </row>
    <row r="78" spans="1:4" s="31" customFormat="1" x14ac:dyDescent="0.45">
      <c r="A78" s="37">
        <v>44268</v>
      </c>
      <c r="B78" s="50">
        <v>189004</v>
      </c>
      <c r="C78" s="50">
        <v>48259</v>
      </c>
      <c r="D78" s="50">
        <v>237263</v>
      </c>
    </row>
    <row r="79" spans="1:4" s="31" customFormat="1" x14ac:dyDescent="0.45">
      <c r="A79" s="37">
        <v>44269</v>
      </c>
      <c r="B79" s="50">
        <v>130339</v>
      </c>
      <c r="C79" s="50">
        <v>35242</v>
      </c>
      <c r="D79" s="50">
        <v>165581</v>
      </c>
    </row>
    <row r="80" spans="1:4" s="31" customFormat="1" x14ac:dyDescent="0.45">
      <c r="A80" s="37">
        <v>44270</v>
      </c>
      <c r="B80" s="50">
        <v>176852</v>
      </c>
      <c r="C80" s="50">
        <v>57348</v>
      </c>
      <c r="D80" s="50">
        <v>234200</v>
      </c>
    </row>
    <row r="81" spans="1:4" s="31" customFormat="1" x14ac:dyDescent="0.45">
      <c r="A81" s="37">
        <v>44271</v>
      </c>
      <c r="B81" s="50">
        <v>111539</v>
      </c>
      <c r="C81" s="50">
        <v>66379</v>
      </c>
      <c r="D81" s="50">
        <v>177918</v>
      </c>
    </row>
    <row r="82" spans="1:4" s="31" customFormat="1" x14ac:dyDescent="0.45">
      <c r="A82" s="37">
        <v>44272</v>
      </c>
      <c r="B82" s="50">
        <v>127584</v>
      </c>
      <c r="C82" s="50">
        <v>81279</v>
      </c>
      <c r="D82" s="50">
        <v>208863</v>
      </c>
    </row>
    <row r="83" spans="1:4" s="31" customFormat="1" x14ac:dyDescent="0.45">
      <c r="A83" s="37">
        <v>44273</v>
      </c>
      <c r="B83" s="50">
        <v>116043</v>
      </c>
      <c r="C83" s="50">
        <v>73496</v>
      </c>
      <c r="D83" s="50">
        <v>189539</v>
      </c>
    </row>
    <row r="84" spans="1:4" s="31" customFormat="1" x14ac:dyDescent="0.45">
      <c r="A84" s="37">
        <v>44274</v>
      </c>
      <c r="B84" s="50">
        <v>149119</v>
      </c>
      <c r="C84" s="50">
        <v>79849</v>
      </c>
      <c r="D84" s="50">
        <v>228968</v>
      </c>
    </row>
    <row r="85" spans="1:4" s="31" customFormat="1" x14ac:dyDescent="0.45">
      <c r="A85" s="37">
        <v>44275</v>
      </c>
      <c r="B85" s="50">
        <v>155373</v>
      </c>
      <c r="C85" s="50">
        <v>52803</v>
      </c>
      <c r="D85" s="50">
        <v>208176</v>
      </c>
    </row>
    <row r="86" spans="1:4" s="31" customFormat="1" x14ac:dyDescent="0.45">
      <c r="A86" s="37">
        <v>44276</v>
      </c>
      <c r="B86" s="50">
        <v>125622</v>
      </c>
      <c r="C86" s="50">
        <v>39164</v>
      </c>
      <c r="D86" s="50">
        <v>164786</v>
      </c>
    </row>
    <row r="87" spans="1:4" s="31" customFormat="1" x14ac:dyDescent="0.45">
      <c r="A87" s="37">
        <v>44277</v>
      </c>
      <c r="B87" s="50">
        <v>183730</v>
      </c>
      <c r="C87" s="50">
        <v>78123</v>
      </c>
      <c r="D87" s="50">
        <v>261853</v>
      </c>
    </row>
    <row r="88" spans="1:4" s="31" customFormat="1" x14ac:dyDescent="0.45">
      <c r="A88" s="37">
        <v>44278</v>
      </c>
      <c r="B88" s="50">
        <v>192778</v>
      </c>
      <c r="C88" s="50">
        <v>80975</v>
      </c>
      <c r="D88" s="50">
        <v>273753</v>
      </c>
    </row>
    <row r="89" spans="1:4" s="31" customFormat="1" x14ac:dyDescent="0.45">
      <c r="A89" s="37">
        <v>44279</v>
      </c>
      <c r="B89" s="50">
        <v>200855</v>
      </c>
      <c r="C89" s="50">
        <v>85092</v>
      </c>
      <c r="D89" s="50">
        <v>285947</v>
      </c>
    </row>
    <row r="90" spans="1:4" s="31" customFormat="1" x14ac:dyDescent="0.45">
      <c r="A90" s="51"/>
      <c r="B90" s="51"/>
      <c r="C90" s="51"/>
      <c r="D90" s="51"/>
    </row>
    <row r="91" spans="1:4" s="31" customFormat="1" x14ac:dyDescent="0.45">
      <c r="A91" s="51"/>
      <c r="B91" s="51"/>
      <c r="C91" s="51"/>
      <c r="D91" s="51"/>
    </row>
    <row r="92" spans="1:4" s="31" customFormat="1" x14ac:dyDescent="0.45">
      <c r="A92" s="51"/>
      <c r="B92" s="51"/>
      <c r="C92" s="51"/>
      <c r="D92" s="51"/>
    </row>
    <row r="93" spans="1:4" x14ac:dyDescent="0.45">
      <c r="A93" s="60" t="s">
        <v>60</v>
      </c>
      <c r="B93" s="32">
        <f>SUM(B2:B92)</f>
        <v>8143296</v>
      </c>
      <c r="C93" s="32">
        <f t="shared" ref="C93" si="0">SUM(C2:C92)</f>
        <v>3603619</v>
      </c>
      <c r="D93" s="32">
        <f>SUM(D2:D92)</f>
        <v>11746915</v>
      </c>
    </row>
    <row r="94" spans="1:4" x14ac:dyDescent="0.45">
      <c r="A94" s="55" t="s">
        <v>61</v>
      </c>
      <c r="B94" s="57">
        <v>6960</v>
      </c>
      <c r="C94" s="56">
        <v>20</v>
      </c>
      <c r="D94" s="61">
        <f>B94+C94</f>
        <v>6980</v>
      </c>
    </row>
    <row r="95" spans="1:4" x14ac:dyDescent="0.45">
      <c r="A95" s="58" t="s">
        <v>19</v>
      </c>
      <c r="B95" s="59">
        <f>B93+B94</f>
        <v>8150256</v>
      </c>
      <c r="C95" s="59">
        <f>C93+C94</f>
        <v>3603639</v>
      </c>
      <c r="D95" s="59">
        <f>D93+D94</f>
        <v>11753895</v>
      </c>
    </row>
    <row r="97" spans="1:1" x14ac:dyDescent="0.45">
      <c r="A97" t="s">
        <v>62</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4</vt:i4>
      </vt:variant>
      <vt:variant>
        <vt:lpstr>Benannte Bereiche</vt:lpstr>
      </vt:variant>
      <vt:variant>
        <vt:i4>3</vt:i4>
      </vt:variant>
    </vt:vector>
  </HeadingPairs>
  <TitlesOfParts>
    <vt:vector size="7" baseType="lpstr">
      <vt:lpstr>Erläuterung</vt:lpstr>
      <vt:lpstr>Gesamt_bis_einschl_24.03.21</vt:lpstr>
      <vt:lpstr>Indik_bis_einschl_24.03.21</vt:lpstr>
      <vt:lpstr>Impfungen_proTag</vt:lpstr>
      <vt:lpstr>Indik_bis_einschl_24.03.21!Bundesländer001</vt:lpstr>
      <vt:lpstr>Gesamt_bis_einschl_24.03.21!Bundesländer001_1</vt:lpstr>
      <vt:lpstr>Indik_bis_einschl_24.03.21!Bundesländer001_1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Jürgen Womser-Schütz</dc:creator>
  <cp:lastModifiedBy>Jürgen Womser-Schütz</cp:lastModifiedBy>
  <cp:lastPrinted>2020-11-26T08:55:16Z</cp:lastPrinted>
  <dcterms:created xsi:type="dcterms:W3CDTF">2020-11-25T14:26:45Z</dcterms:created>
  <dcterms:modified xsi:type="dcterms:W3CDTF">2021-03-25T08:59:50Z</dcterms:modified>
</cp:coreProperties>
</file>