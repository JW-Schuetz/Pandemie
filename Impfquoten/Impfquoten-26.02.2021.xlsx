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E9369159-BF24-40D9-80CB-0817541A0474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6.02.21" sheetId="12" r:id="rId2"/>
    <sheet name="Indik_bis_einschl_26.02." sheetId="11" r:id="rId3"/>
    <sheet name="Impfungen_proTag" sheetId="10" r:id="rId4"/>
  </sheets>
  <definedNames>
    <definedName name="Bundesländer001" localSheetId="1">Gesamt_bis_einschl_26.02.21!#REF!</definedName>
    <definedName name="Bundesländer001" localSheetId="2">Indik_bis_einschl_26.02.!$G$2:$J$18</definedName>
    <definedName name="Bundesländer001_1" localSheetId="1">Gesamt_bis_einschl_26.02.21!$D$3:$H$19</definedName>
    <definedName name="Bundesländer001_1" localSheetId="2">Indik_bis_einschl_26.02.!$C$2:$F$18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<sst xmlns="http://schemas.openxmlformats.org/spreadsheetml/2006/main" count="108" uniqueCount="62">
  <si>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</si>
  <si>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</si>
  <si>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</si>
  <si>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</si>
  <si>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</si>
  <si>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</si>
  <si>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</si>
  <si>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</si>
  <si>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</si>
  <si>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</si>
  <si>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</si>
  <si>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</si>
  <si>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</si>
  <si>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</si>
  <si>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</si>
  <si>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</si>
  <si>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</si>
  <si>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</si>
  <si>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</si>
  <si>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</si>
  <si>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</si>
  <si>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</si>
  <si>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</si>
  <si>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</si>
  <si>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</si>
  <si>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</si>
  <si>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</si>
  <si>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</si>
  <si>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</si>
  <si>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</si>
  <si>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</si>
  <si>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</si>
  <si>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</si>
  <si>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</si>
  <si>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</si>
  <si>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</si>
  <si>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</si>
  <si>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</si>
  <si>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</si>
  <si>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</si>
  <si>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</si>
  <si>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</si>
  <si>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</si>
  <si>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</si>
  <si>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</si>
  <si>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</si>
  <si>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</si>
  <si>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</si>
  <si>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</si>
  <si>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</si>
  <si>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</si>
  <si>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</si>
  <si>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</si>
  <si>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</si>
  <si>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</si>
  <si>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</si>
  <si>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</si>
  <si>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</si>
  <si>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27.02.2021, 8:00 Uhr</t>
  </si>
  <si>
    <t>Durchgeführte Impfungen bundesweit und nach Bundesland bis einschließlich 26.02.21 (Gesamt_bis_einschl_26.02.21)</t>
  </si>
  <si>
    <t xml:space="preserve">Die kumulative Zahl der Impfungen umfasst alle Impfungen, die bis einschließlich 26.02.21 durchgeführt und bis zum 27.02.21, 8:00 Uhr, dem RKI gemeldet wurden. Nachmeldungen und Datenkorrekturen aus zurückliegenden Tagen sind in der kumulativen Zahl der Impfungen enthalten. </t>
  </si>
  <si>
    <t>Anzahl Impfungen nach Indikation bis einschließlich 26.02.21 (Indik_bis_einschl_26.02.21)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</si>
</sst>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6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3" fontId="1" fillId="0" borderId="0" xfId="0" applyNumberFormat="1" applyFont="1" applyFill="1" applyBorder="1"/>
    <xf numFmtId="0" fontId="0" fillId="0" borderId="0" xfId="0" applyFill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3" sqref="A3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K30" sqref="K30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2" t="s">
        <v>42</v>
      </c>
      <c r="B1" s="64" t="s">
        <v>16</v>
      </c>
      <c r="C1" s="70" t="s">
        <v>49</v>
      </c>
      <c r="D1" s="66" t="s">
        <v>44</v>
      </c>
      <c r="E1" s="67"/>
      <c r="F1" s="67"/>
      <c r="G1" s="67"/>
      <c r="H1" s="67"/>
      <c r="I1" s="67"/>
      <c r="J1" s="57" t="s">
        <v>45</v>
      </c>
      <c r="K1" s="58"/>
      <c r="L1" s="58"/>
      <c r="M1" s="58"/>
      <c r="N1" s="59"/>
    </row>
    <row r="2" spans="1:14" s="9" customFormat="1" ht="15" customHeight="1" x14ac:dyDescent="0.45">
      <c r="A2" s="62"/>
      <c r="B2" s="64"/>
      <c r="C2" s="70"/>
      <c r="D2" s="72" t="s">
        <v>20</v>
      </c>
      <c r="E2" s="73"/>
      <c r="F2" s="73"/>
      <c r="G2" s="73"/>
      <c r="H2" s="68" t="s">
        <v>17</v>
      </c>
      <c r="I2" s="55" t="s">
        <v>48</v>
      </c>
      <c r="J2" s="60" t="s">
        <v>20</v>
      </c>
      <c r="K2" s="61"/>
      <c r="L2" s="61"/>
      <c r="M2" s="68" t="s">
        <v>17</v>
      </c>
      <c r="N2" s="55" t="s">
        <v>48</v>
      </c>
    </row>
    <row r="3" spans="1:14" ht="16.5" customHeight="1" x14ac:dyDescent="0.45">
      <c r="A3" s="63"/>
      <c r="B3" s="65"/>
      <c r="C3" s="71"/>
      <c r="D3" s="26" t="s">
        <v>19</v>
      </c>
      <c r="E3" s="26" t="s">
        <v>47</v>
      </c>
      <c r="F3" s="26" t="s">
        <v>46</v>
      </c>
      <c r="G3" s="26" t="s">
        <v>57</v>
      </c>
      <c r="H3" s="69"/>
      <c r="I3" s="56"/>
      <c r="J3" s="26" t="s">
        <v>19</v>
      </c>
      <c r="K3" s="26" t="s">
        <v>47</v>
      </c>
      <c r="L3" s="26" t="s">
        <v>46</v>
      </c>
      <c r="M3" s="69"/>
      <c r="N3" s="56"/>
    </row>
    <row r="4" spans="1:14" x14ac:dyDescent="0.45">
      <c r="A4" s="13" t="s">
        <v>33</v>
      </c>
      <c r="B4" s="1" t="s">
        <v>1</v>
      </c>
      <c r="C4" s="33">
        <v>741692</v>
      </c>
      <c r="D4" s="16">
        <v>487390</v>
      </c>
      <c r="E4" s="16">
        <v>430166</v>
      </c>
      <c r="F4" s="16">
        <v>26402</v>
      </c>
      <c r="G4" s="16">
        <v>30822</v>
      </c>
      <c r="H4" s="16">
        <v>18161</v>
      </c>
      <c r="I4" s="32">
        <v>4.3907450492297846</v>
      </c>
      <c r="J4" s="29">
        <v>254302</v>
      </c>
      <c r="K4" s="16">
        <v>250043</v>
      </c>
      <c r="L4" s="16">
        <v>4259</v>
      </c>
      <c r="M4" s="17">
        <v>8785</v>
      </c>
      <c r="N4" s="50">
        <v>2.2909276913954586</v>
      </c>
    </row>
    <row r="5" spans="1:14" x14ac:dyDescent="0.45">
      <c r="A5" s="14" t="s">
        <v>34</v>
      </c>
      <c r="B5" s="2" t="s">
        <v>0</v>
      </c>
      <c r="C5" s="34">
        <v>1027656</v>
      </c>
      <c r="D5" s="21">
        <v>683464</v>
      </c>
      <c r="E5" s="21">
        <v>593642</v>
      </c>
      <c r="F5" s="21">
        <v>21410</v>
      </c>
      <c r="G5" s="21">
        <v>68412</v>
      </c>
      <c r="H5" s="22">
        <v>26011</v>
      </c>
      <c r="I5" s="23">
        <v>5.2074491092659612</v>
      </c>
      <c r="J5" s="30">
        <v>344192</v>
      </c>
      <c r="K5" s="21">
        <v>334940</v>
      </c>
      <c r="L5" s="21">
        <v>9252</v>
      </c>
      <c r="M5" s="22">
        <v>8802</v>
      </c>
      <c r="N5" s="23">
        <v>2.6224677873545201</v>
      </c>
    </row>
    <row r="6" spans="1:14" x14ac:dyDescent="0.45">
      <c r="A6" s="13">
        <v>11</v>
      </c>
      <c r="B6" s="1" t="s">
        <v>3</v>
      </c>
      <c r="C6" s="33">
        <v>281860</v>
      </c>
      <c r="D6" s="16">
        <v>168870</v>
      </c>
      <c r="E6" s="16">
        <v>148645</v>
      </c>
      <c r="F6" s="16">
        <v>5896</v>
      </c>
      <c r="G6" s="16">
        <v>14329</v>
      </c>
      <c r="H6" s="17">
        <v>4698</v>
      </c>
      <c r="I6" s="18">
        <v>4.6020006589469764</v>
      </c>
      <c r="J6" s="29">
        <v>112990</v>
      </c>
      <c r="K6" s="16">
        <v>110627</v>
      </c>
      <c r="L6" s="16">
        <v>2363</v>
      </c>
      <c r="M6" s="17">
        <v>2848</v>
      </c>
      <c r="N6" s="18">
        <v>3.0791736510595067</v>
      </c>
    </row>
    <row r="7" spans="1:14" x14ac:dyDescent="0.45">
      <c r="A7" s="14">
        <v>12</v>
      </c>
      <c r="B7" s="2" t="s">
        <v>2</v>
      </c>
      <c r="C7" s="34">
        <v>179019</v>
      </c>
      <c r="D7" s="21">
        <v>104318</v>
      </c>
      <c r="E7" s="21">
        <v>85573</v>
      </c>
      <c r="F7" s="21">
        <v>4160</v>
      </c>
      <c r="G7" s="21">
        <v>14585</v>
      </c>
      <c r="H7" s="22">
        <v>4786</v>
      </c>
      <c r="I7" s="23">
        <v>4.1364958782945989</v>
      </c>
      <c r="J7" s="30">
        <v>74701</v>
      </c>
      <c r="K7" s="21">
        <v>74025</v>
      </c>
      <c r="L7" s="21">
        <v>676</v>
      </c>
      <c r="M7" s="22">
        <v>583</v>
      </c>
      <c r="N7" s="23">
        <v>2.9621002952940509</v>
      </c>
    </row>
    <row r="8" spans="1:14" x14ac:dyDescent="0.45">
      <c r="A8" s="13" t="s">
        <v>35</v>
      </c>
      <c r="B8" s="1" t="s">
        <v>4</v>
      </c>
      <c r="C8" s="33">
        <v>54175</v>
      </c>
      <c r="D8" s="16">
        <v>34219</v>
      </c>
      <c r="E8" s="16">
        <v>28469</v>
      </c>
      <c r="F8" s="16">
        <v>1931</v>
      </c>
      <c r="G8" s="16">
        <v>3819</v>
      </c>
      <c r="H8" s="17">
        <v>1452</v>
      </c>
      <c r="I8" s="18">
        <v>5.0233264141913851</v>
      </c>
      <c r="J8" s="29">
        <v>19956</v>
      </c>
      <c r="K8" s="16">
        <v>18703</v>
      </c>
      <c r="L8" s="16">
        <v>1253</v>
      </c>
      <c r="M8" s="17">
        <v>459</v>
      </c>
      <c r="N8" s="18">
        <v>2.9295275116632071</v>
      </c>
    </row>
    <row r="9" spans="1:14" x14ac:dyDescent="0.45">
      <c r="A9" s="14" t="s">
        <v>36</v>
      </c>
      <c r="B9" s="2" t="s">
        <v>5</v>
      </c>
      <c r="C9" s="34">
        <v>147871</v>
      </c>
      <c r="D9" s="21">
        <v>96003</v>
      </c>
      <c r="E9" s="21">
        <v>77651</v>
      </c>
      <c r="F9" s="21">
        <v>1805</v>
      </c>
      <c r="G9" s="21">
        <v>16547</v>
      </c>
      <c r="H9" s="22">
        <v>2759</v>
      </c>
      <c r="I9" s="23">
        <v>5.1970682954635885</v>
      </c>
      <c r="J9" s="30">
        <v>51868</v>
      </c>
      <c r="K9" s="21">
        <v>51356</v>
      </c>
      <c r="L9" s="21">
        <v>512</v>
      </c>
      <c r="M9" s="22">
        <v>687</v>
      </c>
      <c r="N9" s="23">
        <v>2.807844945981953</v>
      </c>
    </row>
    <row r="10" spans="1:14" x14ac:dyDescent="0.45">
      <c r="A10" s="13" t="s">
        <v>37</v>
      </c>
      <c r="B10" s="1" t="s">
        <v>15</v>
      </c>
      <c r="C10" s="33">
        <v>389926</v>
      </c>
      <c r="D10" s="16">
        <v>262941</v>
      </c>
      <c r="E10" s="16">
        <v>244545</v>
      </c>
      <c r="F10" s="16">
        <v>8073</v>
      </c>
      <c r="G10" s="16">
        <v>10323</v>
      </c>
      <c r="H10" s="17">
        <v>8591</v>
      </c>
      <c r="I10" s="18">
        <v>4.1815784786453101</v>
      </c>
      <c r="J10" s="29">
        <v>126985</v>
      </c>
      <c r="K10" s="16">
        <v>126839</v>
      </c>
      <c r="L10" s="16">
        <v>146</v>
      </c>
      <c r="M10" s="17">
        <v>3528</v>
      </c>
      <c r="N10" s="18">
        <v>2.0194558593402121</v>
      </c>
    </row>
    <row r="11" spans="1:14" x14ac:dyDescent="0.45">
      <c r="A11" s="14">
        <v>13</v>
      </c>
      <c r="B11" s="2" t="s">
        <v>6</v>
      </c>
      <c r="C11" s="35">
        <v>128499</v>
      </c>
      <c r="D11" s="21">
        <v>79502</v>
      </c>
      <c r="E11" s="21">
        <v>72272</v>
      </c>
      <c r="F11" s="21">
        <v>3192</v>
      </c>
      <c r="G11" s="21">
        <v>4038</v>
      </c>
      <c r="H11" s="22">
        <v>2171</v>
      </c>
      <c r="I11" s="23">
        <v>4.9437299535238894</v>
      </c>
      <c r="J11" s="30">
        <v>48997</v>
      </c>
      <c r="K11" s="21">
        <v>47879</v>
      </c>
      <c r="L11" s="21">
        <v>1118</v>
      </c>
      <c r="M11" s="22">
        <v>1229</v>
      </c>
      <c r="N11" s="23">
        <v>3.046815633981661</v>
      </c>
    </row>
    <row r="12" spans="1:14" x14ac:dyDescent="0.45">
      <c r="A12" s="13" t="s">
        <v>38</v>
      </c>
      <c r="B12" s="1" t="s">
        <v>7</v>
      </c>
      <c r="C12" s="33">
        <v>523157</v>
      </c>
      <c r="D12" s="16">
        <v>357187</v>
      </c>
      <c r="E12" s="16">
        <v>312969</v>
      </c>
      <c r="F12" s="16">
        <v>10746</v>
      </c>
      <c r="G12" s="16">
        <v>33472</v>
      </c>
      <c r="H12" s="17">
        <v>14612</v>
      </c>
      <c r="I12" s="18">
        <v>4.4684077577984809</v>
      </c>
      <c r="J12" s="29">
        <v>165970</v>
      </c>
      <c r="K12" s="16">
        <v>164345</v>
      </c>
      <c r="L12" s="16">
        <v>1625</v>
      </c>
      <c r="M12" s="17">
        <v>5157</v>
      </c>
      <c r="N12" s="18">
        <v>2.0762839508767508</v>
      </c>
    </row>
    <row r="13" spans="1:14" x14ac:dyDescent="0.45">
      <c r="A13" s="14" t="s">
        <v>39</v>
      </c>
      <c r="B13" s="2" t="s">
        <v>8</v>
      </c>
      <c r="C13" s="34">
        <v>1192596</v>
      </c>
      <c r="D13" s="21">
        <v>814548</v>
      </c>
      <c r="E13" s="21">
        <v>697527</v>
      </c>
      <c r="F13" s="21">
        <v>19661</v>
      </c>
      <c r="G13" s="21">
        <v>97360</v>
      </c>
      <c r="H13" s="22">
        <v>9642</v>
      </c>
      <c r="I13" s="23">
        <v>4.5385745235989461</v>
      </c>
      <c r="J13" s="30">
        <v>378048</v>
      </c>
      <c r="K13" s="21">
        <v>372608</v>
      </c>
      <c r="L13" s="21">
        <v>5440</v>
      </c>
      <c r="M13" s="22">
        <v>7691</v>
      </c>
      <c r="N13" s="23">
        <v>2.1064431089359181</v>
      </c>
    </row>
    <row r="14" spans="1:14" x14ac:dyDescent="0.45">
      <c r="A14" s="13" t="s">
        <v>40</v>
      </c>
      <c r="B14" s="1" t="s">
        <v>12</v>
      </c>
      <c r="C14" s="33">
        <v>341935</v>
      </c>
      <c r="D14" s="16">
        <v>203526</v>
      </c>
      <c r="E14" s="16">
        <v>173148</v>
      </c>
      <c r="F14" s="16">
        <v>4536</v>
      </c>
      <c r="G14" s="16">
        <v>25842</v>
      </c>
      <c r="H14" s="17">
        <v>3590</v>
      </c>
      <c r="I14" s="18">
        <v>4.9714416780270563</v>
      </c>
      <c r="J14" s="29">
        <v>138409</v>
      </c>
      <c r="K14" s="16">
        <v>134678</v>
      </c>
      <c r="L14" s="16">
        <v>3731</v>
      </c>
      <c r="M14" s="17">
        <v>1286</v>
      </c>
      <c r="N14" s="18">
        <v>3.3808568498081168</v>
      </c>
    </row>
    <row r="15" spans="1:14" x14ac:dyDescent="0.45">
      <c r="A15" s="14">
        <v>10</v>
      </c>
      <c r="B15" s="2" t="s">
        <v>13</v>
      </c>
      <c r="C15" s="34">
        <v>71619</v>
      </c>
      <c r="D15" s="21">
        <v>48966</v>
      </c>
      <c r="E15" s="21">
        <v>39723</v>
      </c>
      <c r="F15" s="21">
        <v>1493</v>
      </c>
      <c r="G15" s="21">
        <v>7750</v>
      </c>
      <c r="H15" s="22">
        <v>1667</v>
      </c>
      <c r="I15" s="23">
        <v>4.961662277444125</v>
      </c>
      <c r="J15" s="30">
        <v>22653</v>
      </c>
      <c r="K15" s="21">
        <v>22066</v>
      </c>
      <c r="L15" s="21">
        <v>587</v>
      </c>
      <c r="M15" s="22">
        <v>248</v>
      </c>
      <c r="N15" s="23">
        <v>2.2953995746220186</v>
      </c>
    </row>
    <row r="16" spans="1:14" x14ac:dyDescent="0.45">
      <c r="A16" s="13">
        <v>14</v>
      </c>
      <c r="B16" s="1" t="s">
        <v>9</v>
      </c>
      <c r="C16" s="33">
        <v>289899</v>
      </c>
      <c r="D16" s="16">
        <v>198564</v>
      </c>
      <c r="E16" s="16">
        <v>182784</v>
      </c>
      <c r="F16" s="16">
        <v>9924</v>
      </c>
      <c r="G16" s="16">
        <v>5856</v>
      </c>
      <c r="H16" s="17">
        <v>7580</v>
      </c>
      <c r="I16" s="18">
        <v>4.8763608581691766</v>
      </c>
      <c r="J16" s="29">
        <v>91335</v>
      </c>
      <c r="K16" s="16">
        <v>90567</v>
      </c>
      <c r="L16" s="16">
        <v>768</v>
      </c>
      <c r="M16" s="17">
        <v>3400</v>
      </c>
      <c r="N16" s="18">
        <v>2.2430169566531788</v>
      </c>
    </row>
    <row r="17" spans="1:14" x14ac:dyDescent="0.45">
      <c r="A17" s="14">
        <v>15</v>
      </c>
      <c r="B17" s="2" t="s">
        <v>10</v>
      </c>
      <c r="C17" s="34">
        <v>147471</v>
      </c>
      <c r="D17" s="21">
        <v>95119</v>
      </c>
      <c r="E17" s="21">
        <v>79593</v>
      </c>
      <c r="F17" s="21">
        <v>3832</v>
      </c>
      <c r="G17" s="21">
        <v>11694</v>
      </c>
      <c r="H17" s="22">
        <v>3262</v>
      </c>
      <c r="I17" s="23">
        <v>4.3338700608989864</v>
      </c>
      <c r="J17" s="30">
        <v>52352</v>
      </c>
      <c r="K17" s="21">
        <v>51657</v>
      </c>
      <c r="L17" s="21">
        <v>695</v>
      </c>
      <c r="M17" s="22">
        <v>1036</v>
      </c>
      <c r="N17" s="23">
        <v>2.3852938469515426</v>
      </c>
    </row>
    <row r="18" spans="1:14" x14ac:dyDescent="0.45">
      <c r="A18" s="13" t="s">
        <v>41</v>
      </c>
      <c r="B18" s="1" t="s">
        <v>11</v>
      </c>
      <c r="C18" s="33">
        <v>226904</v>
      </c>
      <c r="D18" s="16">
        <v>138111</v>
      </c>
      <c r="E18" s="16">
        <v>118747</v>
      </c>
      <c r="F18" s="16">
        <v>4067</v>
      </c>
      <c r="G18" s="16">
        <v>15297</v>
      </c>
      <c r="H18" s="17">
        <v>3438</v>
      </c>
      <c r="I18" s="18">
        <v>4.7562602173103752</v>
      </c>
      <c r="J18" s="29">
        <v>88793</v>
      </c>
      <c r="K18" s="16">
        <v>87354</v>
      </c>
      <c r="L18" s="16">
        <v>1439</v>
      </c>
      <c r="M18" s="17">
        <v>2097</v>
      </c>
      <c r="N18" s="18">
        <v>3.0578492189299924</v>
      </c>
    </row>
    <row r="19" spans="1:14" x14ac:dyDescent="0.45">
      <c r="A19" s="14">
        <v>16</v>
      </c>
      <c r="B19" s="2" t="s">
        <v>14</v>
      </c>
      <c r="C19" s="34">
        <v>166258</v>
      </c>
      <c r="D19" s="21">
        <v>108762</v>
      </c>
      <c r="E19" s="21">
        <v>98067</v>
      </c>
      <c r="F19" s="21">
        <v>7196</v>
      </c>
      <c r="G19" s="21">
        <v>3499</v>
      </c>
      <c r="H19" s="22">
        <v>2225</v>
      </c>
      <c r="I19" s="23">
        <v>5.098112008279827</v>
      </c>
      <c r="J19" s="30">
        <v>57496</v>
      </c>
      <c r="K19" s="21">
        <v>57495</v>
      </c>
      <c r="L19" s="21">
        <v>1</v>
      </c>
      <c r="M19" s="22">
        <v>1741</v>
      </c>
      <c r="N19" s="23">
        <v>2.695068572001774</v>
      </c>
    </row>
    <row r="20" spans="1:14" x14ac:dyDescent="0.45">
      <c r="A20" s="6"/>
      <c r="B20" s="3" t="s">
        <v>19</v>
      </c>
      <c r="C20" s="36">
        <f>D20+J20</f>
        <v>5910537</v>
      </c>
      <c r="D20" s="6">
        <f>SUM(D4:D19)</f>
        <v>3881490</v>
      </c>
      <c r="E20" s="6">
        <f>SUM(E4:E19)</f>
        <v>3383521</v>
      </c>
      <c r="F20" s="6">
        <f>SUM(F4:F19)</f>
        <v>134324</v>
      </c>
      <c r="G20" s="6">
        <f>SUM(G4:G19)</f>
        <v>363645</v>
      </c>
      <c r="H20" s="6">
        <f>SUM(H4:H19)</f>
        <v>114645</v>
      </c>
      <c r="I20" s="10">
        <f>D20/83166711*100</f>
        <v>4.6671197566055005</v>
      </c>
      <c r="J20" s="28">
        <f>SUM(J4:J19)</f>
        <v>2029047</v>
      </c>
      <c r="K20" s="6">
        <f t="shared" ref="K20:L20" si="0">SUM(K4:K19)</f>
        <v>1995182</v>
      </c>
      <c r="L20" s="6">
        <f t="shared" si="0"/>
        <v>33865</v>
      </c>
      <c r="M20" s="6">
        <f>SUM(M4:M19)</f>
        <v>49577</v>
      </c>
      <c r="N20" s="10">
        <f>J20/83166711*100</f>
        <v>2.4397345712036151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J29" sqref="J29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4" t="s">
        <v>42</v>
      </c>
      <c r="B1" s="64" t="s">
        <v>16</v>
      </c>
      <c r="C1" s="57" t="s">
        <v>44</v>
      </c>
      <c r="D1" s="58"/>
      <c r="E1" s="58"/>
      <c r="F1" s="58"/>
      <c r="G1" s="57" t="s">
        <v>45</v>
      </c>
      <c r="H1" s="58"/>
      <c r="I1" s="58"/>
      <c r="J1" s="58"/>
    </row>
    <row r="2" spans="1:10" ht="31.5" customHeight="1" x14ac:dyDescent="0.45">
      <c r="A2" s="75"/>
      <c r="B2" s="65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281976</v>
      </c>
      <c r="D3" s="17">
        <v>168956</v>
      </c>
      <c r="E3" s="17">
        <v>14134</v>
      </c>
      <c r="F3" s="20">
        <v>77794</v>
      </c>
      <c r="G3" s="19">
        <v>145964</v>
      </c>
      <c r="H3" s="17">
        <v>90593</v>
      </c>
      <c r="I3" s="17">
        <v>6138</v>
      </c>
      <c r="J3" s="20">
        <v>49050</v>
      </c>
    </row>
    <row r="4" spans="1:10" x14ac:dyDescent="0.45">
      <c r="A4" s="14" t="s">
        <v>34</v>
      </c>
      <c r="B4" s="2" t="s">
        <v>0</v>
      </c>
      <c r="C4" s="25">
        <v>294009</v>
      </c>
      <c r="D4" s="22">
        <v>313070</v>
      </c>
      <c r="E4" s="22">
        <v>25256</v>
      </c>
      <c r="F4" s="24">
        <v>116694</v>
      </c>
      <c r="G4" s="25">
        <v>115699</v>
      </c>
      <c r="H4" s="22">
        <v>179117</v>
      </c>
      <c r="I4" s="22">
        <v>7029</v>
      </c>
      <c r="J4" s="24">
        <v>88558</v>
      </c>
    </row>
    <row r="5" spans="1:10" x14ac:dyDescent="0.45">
      <c r="A5" s="13">
        <v>11</v>
      </c>
      <c r="B5" s="1" t="s">
        <v>3</v>
      </c>
      <c r="C5" s="19">
        <v>118647</v>
      </c>
      <c r="D5" s="17">
        <v>52049</v>
      </c>
      <c r="E5" s="17">
        <v>150</v>
      </c>
      <c r="F5" s="20">
        <v>41548</v>
      </c>
      <c r="G5" s="19">
        <v>83265</v>
      </c>
      <c r="H5" s="17">
        <v>27981</v>
      </c>
      <c r="I5" s="17">
        <v>30</v>
      </c>
      <c r="J5" s="20">
        <v>33206</v>
      </c>
    </row>
    <row r="6" spans="1:10" x14ac:dyDescent="0.45">
      <c r="A6" s="14">
        <v>12</v>
      </c>
      <c r="B6" s="2" t="s">
        <v>2</v>
      </c>
      <c r="C6" s="25">
        <v>44286</v>
      </c>
      <c r="D6" s="22">
        <v>54874</v>
      </c>
      <c r="E6" s="22">
        <v>2805</v>
      </c>
      <c r="F6" s="24">
        <v>21706</v>
      </c>
      <c r="G6" s="25">
        <v>32628</v>
      </c>
      <c r="H6" s="22">
        <v>40601</v>
      </c>
      <c r="I6" s="22">
        <v>1058</v>
      </c>
      <c r="J6" s="24">
        <v>16561</v>
      </c>
    </row>
    <row r="7" spans="1:10" x14ac:dyDescent="0.45">
      <c r="A7" s="13" t="s">
        <v>35</v>
      </c>
      <c r="B7" s="1" t="s">
        <v>4</v>
      </c>
      <c r="C7" s="19">
        <v>16122</v>
      </c>
      <c r="D7" s="17">
        <v>14300</v>
      </c>
      <c r="E7" s="17">
        <v>505</v>
      </c>
      <c r="F7" s="20">
        <v>7849</v>
      </c>
      <c r="G7" s="19">
        <v>8862</v>
      </c>
      <c r="H7" s="17">
        <v>8289</v>
      </c>
      <c r="I7" s="17">
        <v>146</v>
      </c>
      <c r="J7" s="20">
        <v>6555</v>
      </c>
    </row>
    <row r="8" spans="1:10" x14ac:dyDescent="0.45">
      <c r="A8" s="14" t="s">
        <v>36</v>
      </c>
      <c r="B8" s="2" t="s">
        <v>5</v>
      </c>
      <c r="C8" s="25">
        <v>39958</v>
      </c>
      <c r="D8" s="22">
        <v>49196</v>
      </c>
      <c r="E8" s="22">
        <v>1965</v>
      </c>
      <c r="F8" s="24">
        <v>15534</v>
      </c>
      <c r="G8" s="25">
        <v>19328</v>
      </c>
      <c r="H8" s="22">
        <v>29140</v>
      </c>
      <c r="I8" s="22">
        <v>223</v>
      </c>
      <c r="J8" s="24">
        <v>11928</v>
      </c>
    </row>
    <row r="9" spans="1:10" x14ac:dyDescent="0.45">
      <c r="A9" s="13" t="s">
        <v>37</v>
      </c>
      <c r="B9" s="1" t="s">
        <v>15</v>
      </c>
      <c r="C9" s="19">
        <v>134863</v>
      </c>
      <c r="D9" s="17">
        <v>99080</v>
      </c>
      <c r="E9" s="17">
        <v>6533</v>
      </c>
      <c r="F9" s="20">
        <v>49607</v>
      </c>
      <c r="G9" s="19">
        <v>51546</v>
      </c>
      <c r="H9" s="17">
        <v>56827</v>
      </c>
      <c r="I9" s="17">
        <v>5933</v>
      </c>
      <c r="J9" s="20">
        <v>32247</v>
      </c>
    </row>
    <row r="10" spans="1:10" x14ac:dyDescent="0.45">
      <c r="A10" s="14">
        <v>13</v>
      </c>
      <c r="B10" s="2" t="s">
        <v>6</v>
      </c>
      <c r="C10" s="25">
        <v>23316</v>
      </c>
      <c r="D10" s="22">
        <v>33417</v>
      </c>
      <c r="E10" s="22">
        <v>1615</v>
      </c>
      <c r="F10" s="24">
        <v>23289</v>
      </c>
      <c r="G10" s="25">
        <v>9681</v>
      </c>
      <c r="H10" s="22">
        <v>24238</v>
      </c>
      <c r="I10" s="22">
        <v>571</v>
      </c>
      <c r="J10" s="24">
        <v>15324</v>
      </c>
    </row>
    <row r="11" spans="1:10" x14ac:dyDescent="0.45">
      <c r="A11" s="13" t="s">
        <v>38</v>
      </c>
      <c r="B11" s="1" t="s">
        <v>7</v>
      </c>
      <c r="C11" s="19">
        <v>159115</v>
      </c>
      <c r="D11" s="17">
        <v>143584</v>
      </c>
      <c r="E11" s="17">
        <v>38173</v>
      </c>
      <c r="F11" s="20">
        <v>91409</v>
      </c>
      <c r="G11" s="19">
        <v>36247</v>
      </c>
      <c r="H11" s="17">
        <v>89467</v>
      </c>
      <c r="I11" s="17">
        <v>25649</v>
      </c>
      <c r="J11" s="20">
        <v>68787</v>
      </c>
    </row>
    <row r="12" spans="1:10" x14ac:dyDescent="0.45">
      <c r="A12" s="14" t="s">
        <v>39</v>
      </c>
      <c r="B12" s="2" t="s">
        <v>8</v>
      </c>
      <c r="C12" s="25">
        <v>242173</v>
      </c>
      <c r="D12" s="22">
        <v>445622</v>
      </c>
      <c r="E12" s="22">
        <v>16380</v>
      </c>
      <c r="F12" s="24">
        <v>180229</v>
      </c>
      <c r="G12" s="25">
        <v>53118</v>
      </c>
      <c r="H12" s="22">
        <v>237273</v>
      </c>
      <c r="I12" s="22">
        <v>11820</v>
      </c>
      <c r="J12" s="24">
        <v>132863</v>
      </c>
    </row>
    <row r="13" spans="1:10" x14ac:dyDescent="0.45">
      <c r="A13" s="13" t="s">
        <v>40</v>
      </c>
      <c r="B13" s="1" t="s">
        <v>12</v>
      </c>
      <c r="C13" s="19">
        <v>76396</v>
      </c>
      <c r="D13" s="17">
        <v>90022</v>
      </c>
      <c r="E13" s="17">
        <v>1243</v>
      </c>
      <c r="F13" s="20">
        <v>35865</v>
      </c>
      <c r="G13" s="19">
        <v>52183</v>
      </c>
      <c r="H13" s="17">
        <v>55999</v>
      </c>
      <c r="I13" s="17">
        <v>88</v>
      </c>
      <c r="J13" s="20">
        <v>30139</v>
      </c>
    </row>
    <row r="14" spans="1:10" x14ac:dyDescent="0.45">
      <c r="A14" s="14">
        <v>10</v>
      </c>
      <c r="B14" s="2" t="s">
        <v>13</v>
      </c>
      <c r="C14" s="25">
        <v>28061</v>
      </c>
      <c r="D14" s="22">
        <v>17473</v>
      </c>
      <c r="E14" s="22">
        <v>6</v>
      </c>
      <c r="F14" s="24">
        <v>9933</v>
      </c>
      <c r="G14" s="25">
        <v>15070</v>
      </c>
      <c r="H14" s="22">
        <v>5769</v>
      </c>
      <c r="I14" s="22">
        <v>0</v>
      </c>
      <c r="J14" s="24">
        <v>5857</v>
      </c>
    </row>
    <row r="15" spans="1:10" x14ac:dyDescent="0.45">
      <c r="A15" s="13">
        <v>14</v>
      </c>
      <c r="B15" s="1" t="s">
        <v>9</v>
      </c>
      <c r="C15" s="19">
        <v>74947</v>
      </c>
      <c r="D15" s="17">
        <v>86039</v>
      </c>
      <c r="E15" s="17">
        <v>6516</v>
      </c>
      <c r="F15" s="20">
        <v>33980</v>
      </c>
      <c r="G15" s="19">
        <v>29279</v>
      </c>
      <c r="H15" s="17">
        <v>44053</v>
      </c>
      <c r="I15" s="17">
        <v>6203</v>
      </c>
      <c r="J15" s="20">
        <v>15561</v>
      </c>
    </row>
    <row r="16" spans="1:10" x14ac:dyDescent="0.45">
      <c r="A16" s="14">
        <v>15</v>
      </c>
      <c r="B16" s="2" t="s">
        <v>10</v>
      </c>
      <c r="C16" s="25">
        <v>35616</v>
      </c>
      <c r="D16" s="22">
        <v>45432</v>
      </c>
      <c r="E16" s="22">
        <v>4395</v>
      </c>
      <c r="F16" s="24">
        <v>27954</v>
      </c>
      <c r="G16" s="25">
        <v>19193</v>
      </c>
      <c r="H16" s="22">
        <v>26394</v>
      </c>
      <c r="I16" s="22">
        <v>2630</v>
      </c>
      <c r="J16" s="24">
        <v>16531</v>
      </c>
    </row>
    <row r="17" spans="1:11" x14ac:dyDescent="0.45">
      <c r="A17" s="13" t="s">
        <v>41</v>
      </c>
      <c r="B17" s="1" t="s">
        <v>11</v>
      </c>
      <c r="C17" s="19">
        <v>58245</v>
      </c>
      <c r="D17" s="17">
        <v>55154</v>
      </c>
      <c r="E17" s="17">
        <v>9560</v>
      </c>
      <c r="F17" s="20">
        <v>49246</v>
      </c>
      <c r="G17" s="19">
        <v>38820</v>
      </c>
      <c r="H17" s="17">
        <v>34447</v>
      </c>
      <c r="I17" s="17">
        <v>8712</v>
      </c>
      <c r="J17" s="20">
        <v>35230</v>
      </c>
      <c r="K17" s="40"/>
    </row>
    <row r="18" spans="1:11" x14ac:dyDescent="0.45">
      <c r="A18" s="14">
        <v>16</v>
      </c>
      <c r="B18" s="2" t="s">
        <v>14</v>
      </c>
      <c r="C18" s="22">
        <v>58662</v>
      </c>
      <c r="D18" s="22">
        <v>41828</v>
      </c>
      <c r="E18" s="22">
        <v>5243</v>
      </c>
      <c r="F18" s="24">
        <v>21007</v>
      </c>
      <c r="G18" s="22">
        <v>27717</v>
      </c>
      <c r="H18" s="22">
        <v>26123</v>
      </c>
      <c r="I18" s="22">
        <v>2424</v>
      </c>
      <c r="J18" s="24">
        <v>11205</v>
      </c>
    </row>
    <row r="19" spans="1:11" x14ac:dyDescent="0.45">
      <c r="A19" s="6"/>
      <c r="B19" s="3" t="s">
        <v>19</v>
      </c>
      <c r="C19" s="4">
        <f>SUM(C3:C18)</f>
        <v>1686392</v>
      </c>
      <c r="D19" s="5">
        <f t="shared" ref="D19:J19" si="0">SUM(D3:D18)</f>
        <v>1710096</v>
      </c>
      <c r="E19" s="5">
        <f t="shared" si="0"/>
        <v>134479</v>
      </c>
      <c r="F19" s="11">
        <f t="shared" si="0"/>
        <v>803644</v>
      </c>
      <c r="G19" s="4">
        <f t="shared" si="0"/>
        <v>738600</v>
      </c>
      <c r="H19" s="5">
        <f t="shared" si="0"/>
        <v>976311</v>
      </c>
      <c r="I19" s="5">
        <f t="shared" si="0"/>
        <v>78654</v>
      </c>
      <c r="J19" s="11">
        <f t="shared" si="0"/>
        <v>569602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37" workbookViewId="0">
      <selection activeCell="I65" sqref="I65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57944</v>
      </c>
      <c r="C5" s="41">
        <v>0</v>
      </c>
      <c r="D5" s="41">
        <v>57944</v>
      </c>
    </row>
    <row r="6" spans="1:4" x14ac:dyDescent="0.45">
      <c r="A6" s="46">
        <v>44196</v>
      </c>
      <c r="B6" s="41">
        <v>38520</v>
      </c>
      <c r="C6" s="41">
        <v>0</v>
      </c>
      <c r="D6" s="41">
        <v>38520</v>
      </c>
    </row>
    <row r="7" spans="1:4" x14ac:dyDescent="0.45">
      <c r="A7" s="46">
        <v>44197</v>
      </c>
      <c r="B7" s="41">
        <v>24755</v>
      </c>
      <c r="C7" s="41">
        <v>0</v>
      </c>
      <c r="D7" s="41">
        <v>24755</v>
      </c>
    </row>
    <row r="8" spans="1:4" x14ac:dyDescent="0.45">
      <c r="A8" s="46">
        <v>44198</v>
      </c>
      <c r="B8" s="41">
        <v>51845</v>
      </c>
      <c r="C8" s="41">
        <v>0</v>
      </c>
      <c r="D8" s="41">
        <v>51845</v>
      </c>
    </row>
    <row r="9" spans="1:4" x14ac:dyDescent="0.45">
      <c r="A9" s="46">
        <v>44199</v>
      </c>
      <c r="B9" s="41">
        <v>24990</v>
      </c>
      <c r="C9" s="41">
        <v>0</v>
      </c>
      <c r="D9" s="41">
        <v>24990</v>
      </c>
    </row>
    <row r="10" spans="1:4" x14ac:dyDescent="0.45">
      <c r="A10" s="46">
        <v>44200</v>
      </c>
      <c r="B10" s="41">
        <v>48608</v>
      </c>
      <c r="C10" s="41">
        <v>0</v>
      </c>
      <c r="D10" s="41">
        <v>48608</v>
      </c>
    </row>
    <row r="11" spans="1:4" x14ac:dyDescent="0.45">
      <c r="A11" s="46">
        <v>44201</v>
      </c>
      <c r="B11" s="41">
        <v>52387</v>
      </c>
      <c r="C11" s="41">
        <v>0</v>
      </c>
      <c r="D11" s="41">
        <v>52387</v>
      </c>
    </row>
    <row r="12" spans="1:4" x14ac:dyDescent="0.45">
      <c r="A12" s="46">
        <v>44202</v>
      </c>
      <c r="B12" s="41">
        <v>58682</v>
      </c>
      <c r="C12" s="41">
        <v>0</v>
      </c>
      <c r="D12" s="41">
        <v>58682</v>
      </c>
    </row>
    <row r="13" spans="1:4" x14ac:dyDescent="0.45">
      <c r="A13" s="46">
        <v>44203</v>
      </c>
      <c r="B13" s="41">
        <v>58402</v>
      </c>
      <c r="C13" s="41">
        <v>0</v>
      </c>
      <c r="D13" s="41">
        <v>58402</v>
      </c>
    </row>
    <row r="14" spans="1:4" x14ac:dyDescent="0.45">
      <c r="A14" s="46">
        <v>44204</v>
      </c>
      <c r="B14" s="41">
        <v>60397</v>
      </c>
      <c r="C14" s="41">
        <v>0</v>
      </c>
      <c r="D14" s="41">
        <v>60397</v>
      </c>
    </row>
    <row r="15" spans="1:4" x14ac:dyDescent="0.45">
      <c r="A15" s="46">
        <v>44205</v>
      </c>
      <c r="B15" s="41">
        <v>57199</v>
      </c>
      <c r="C15" s="41">
        <v>0</v>
      </c>
      <c r="D15" s="41">
        <v>57199</v>
      </c>
    </row>
    <row r="16" spans="1:4" x14ac:dyDescent="0.45">
      <c r="A16" s="46">
        <v>44206</v>
      </c>
      <c r="B16" s="41">
        <v>33293</v>
      </c>
      <c r="C16" s="41">
        <v>0</v>
      </c>
      <c r="D16" s="41">
        <v>33293</v>
      </c>
    </row>
    <row r="17" spans="1:4" x14ac:dyDescent="0.45">
      <c r="A17" s="46">
        <v>44207</v>
      </c>
      <c r="B17" s="41">
        <v>65597</v>
      </c>
      <c r="C17" s="41">
        <v>0</v>
      </c>
      <c r="D17" s="41">
        <v>65597</v>
      </c>
    </row>
    <row r="18" spans="1:4" x14ac:dyDescent="0.45">
      <c r="A18" s="46">
        <v>44208</v>
      </c>
      <c r="B18" s="41">
        <v>82008</v>
      </c>
      <c r="C18" s="41">
        <v>0</v>
      </c>
      <c r="D18" s="41">
        <v>82008</v>
      </c>
    </row>
    <row r="19" spans="1:4" x14ac:dyDescent="0.45">
      <c r="A19" s="46">
        <v>44209</v>
      </c>
      <c r="B19" s="41">
        <v>98999</v>
      </c>
      <c r="C19" s="41">
        <v>0</v>
      </c>
      <c r="D19" s="41">
        <v>98999</v>
      </c>
    </row>
    <row r="20" spans="1:4" x14ac:dyDescent="0.45">
      <c r="A20" s="46">
        <v>44210</v>
      </c>
      <c r="B20" s="41">
        <v>99996</v>
      </c>
      <c r="C20" s="41">
        <v>115</v>
      </c>
      <c r="D20" s="41">
        <v>100111</v>
      </c>
    </row>
    <row r="21" spans="1:4" x14ac:dyDescent="0.45">
      <c r="A21" s="46">
        <v>44211</v>
      </c>
      <c r="B21" s="41">
        <v>92313</v>
      </c>
      <c r="C21" s="41">
        <v>429</v>
      </c>
      <c r="D21" s="41">
        <v>92742</v>
      </c>
    </row>
    <row r="22" spans="1:4" x14ac:dyDescent="0.45">
      <c r="A22" s="46">
        <v>44212</v>
      </c>
      <c r="B22" s="41">
        <v>56725</v>
      </c>
      <c r="C22" s="41">
        <v>397</v>
      </c>
      <c r="D22" s="41">
        <v>57122</v>
      </c>
    </row>
    <row r="23" spans="1:4" x14ac:dyDescent="0.45">
      <c r="A23" s="46">
        <v>44213</v>
      </c>
      <c r="B23" s="41">
        <v>30945</v>
      </c>
      <c r="C23" s="41">
        <v>13610</v>
      </c>
      <c r="D23" s="41">
        <v>44555</v>
      </c>
    </row>
    <row r="24" spans="1:4" x14ac:dyDescent="0.45">
      <c r="A24" s="46">
        <v>44214</v>
      </c>
      <c r="B24" s="41">
        <v>57825</v>
      </c>
      <c r="C24" s="41">
        <v>16410</v>
      </c>
      <c r="D24" s="41">
        <v>74235</v>
      </c>
    </row>
    <row r="25" spans="1:4" x14ac:dyDescent="0.45">
      <c r="A25" s="46">
        <v>44215</v>
      </c>
      <c r="B25" s="41">
        <v>67661</v>
      </c>
      <c r="C25" s="41">
        <v>27061</v>
      </c>
      <c r="D25" s="41">
        <v>94722</v>
      </c>
    </row>
    <row r="26" spans="1:4" x14ac:dyDescent="0.45">
      <c r="A26" s="46">
        <v>44216</v>
      </c>
      <c r="B26" s="41">
        <v>77942</v>
      </c>
      <c r="C26" s="41">
        <v>50542</v>
      </c>
      <c r="D26" s="41">
        <v>128484</v>
      </c>
    </row>
    <row r="27" spans="1:4" x14ac:dyDescent="0.45">
      <c r="A27" s="46">
        <v>44217</v>
      </c>
      <c r="B27" s="41">
        <v>60284</v>
      </c>
      <c r="C27" s="41">
        <v>34911</v>
      </c>
      <c r="D27" s="41">
        <v>95195</v>
      </c>
    </row>
    <row r="28" spans="1:4" x14ac:dyDescent="0.45">
      <c r="A28" s="46">
        <v>44218</v>
      </c>
      <c r="B28" s="41">
        <v>83809</v>
      </c>
      <c r="C28" s="41">
        <v>30744</v>
      </c>
      <c r="D28" s="41">
        <v>114553</v>
      </c>
    </row>
    <row r="29" spans="1:4" x14ac:dyDescent="0.45">
      <c r="A29" s="46">
        <v>44219</v>
      </c>
      <c r="B29" s="41">
        <v>48746</v>
      </c>
      <c r="C29" s="41">
        <v>43309</v>
      </c>
      <c r="D29" s="41">
        <v>92055</v>
      </c>
    </row>
    <row r="30" spans="1:4" x14ac:dyDescent="0.45">
      <c r="A30" s="46">
        <v>44220</v>
      </c>
      <c r="B30" s="41">
        <v>38075</v>
      </c>
      <c r="C30" s="41">
        <v>28027</v>
      </c>
      <c r="D30" s="41">
        <v>66102</v>
      </c>
    </row>
    <row r="31" spans="1:4" x14ac:dyDescent="0.45">
      <c r="A31" s="46">
        <v>44221</v>
      </c>
      <c r="B31" s="41">
        <v>57745</v>
      </c>
      <c r="C31" s="41">
        <v>39530</v>
      </c>
      <c r="D31" s="41">
        <v>97275</v>
      </c>
    </row>
    <row r="32" spans="1:4" x14ac:dyDescent="0.45">
      <c r="A32" s="46">
        <v>44222</v>
      </c>
      <c r="B32" s="41">
        <v>53112</v>
      </c>
      <c r="C32" s="41">
        <v>49553</v>
      </c>
      <c r="D32" s="41">
        <v>102665</v>
      </c>
    </row>
    <row r="33" spans="1:4" x14ac:dyDescent="0.45">
      <c r="A33" s="46">
        <v>44223</v>
      </c>
      <c r="B33" s="41">
        <v>54019</v>
      </c>
      <c r="C33" s="41">
        <v>58757</v>
      </c>
      <c r="D33" s="41">
        <v>112776</v>
      </c>
    </row>
    <row r="34" spans="1:4" x14ac:dyDescent="0.45">
      <c r="A34" s="46">
        <v>44224</v>
      </c>
      <c r="B34" s="41">
        <v>51580</v>
      </c>
      <c r="C34" s="41">
        <v>48706</v>
      </c>
      <c r="D34" s="41">
        <v>100286</v>
      </c>
    </row>
    <row r="35" spans="1:4" x14ac:dyDescent="0.45">
      <c r="A35" s="46">
        <v>44225</v>
      </c>
      <c r="B35" s="41">
        <v>56543</v>
      </c>
      <c r="C35" s="41">
        <v>53130</v>
      </c>
      <c r="D35" s="41">
        <v>109673</v>
      </c>
    </row>
    <row r="36" spans="1:4" x14ac:dyDescent="0.45">
      <c r="A36" s="46">
        <v>44226</v>
      </c>
      <c r="B36" s="41">
        <v>38701</v>
      </c>
      <c r="C36" s="41">
        <v>47195</v>
      </c>
      <c r="D36" s="41">
        <v>85896</v>
      </c>
    </row>
    <row r="37" spans="1:4" x14ac:dyDescent="0.45">
      <c r="A37" s="46">
        <v>44227</v>
      </c>
      <c r="B37" s="41">
        <v>31313</v>
      </c>
      <c r="C37" s="41">
        <v>31249</v>
      </c>
      <c r="D37" s="41">
        <v>62562</v>
      </c>
    </row>
    <row r="38" spans="1:4" x14ac:dyDescent="0.45">
      <c r="A38" s="46">
        <v>44228</v>
      </c>
      <c r="B38" s="41">
        <v>49056</v>
      </c>
      <c r="C38" s="41">
        <v>65408</v>
      </c>
      <c r="D38" s="41">
        <v>114464</v>
      </c>
    </row>
    <row r="39" spans="1:4" x14ac:dyDescent="0.45">
      <c r="A39" s="46">
        <v>44229</v>
      </c>
      <c r="B39" s="41">
        <v>56938</v>
      </c>
      <c r="C39" s="41">
        <v>69311</v>
      </c>
      <c r="D39" s="41">
        <v>126249</v>
      </c>
    </row>
    <row r="40" spans="1:4" x14ac:dyDescent="0.45">
      <c r="A40" s="46">
        <v>44230</v>
      </c>
      <c r="B40" s="41">
        <v>56699</v>
      </c>
      <c r="C40" s="41">
        <v>84135</v>
      </c>
      <c r="D40" s="41">
        <v>140834</v>
      </c>
    </row>
    <row r="41" spans="1:4" x14ac:dyDescent="0.45">
      <c r="A41" s="46">
        <v>44231</v>
      </c>
      <c r="B41" s="41">
        <v>62286</v>
      </c>
      <c r="C41" s="41">
        <v>72056</v>
      </c>
      <c r="D41" s="41">
        <v>134342</v>
      </c>
    </row>
    <row r="42" spans="1:4" x14ac:dyDescent="0.45">
      <c r="A42" s="46">
        <v>44232</v>
      </c>
      <c r="B42" s="41">
        <v>58971</v>
      </c>
      <c r="C42" s="41">
        <v>72177</v>
      </c>
      <c r="D42" s="41">
        <v>131148</v>
      </c>
    </row>
    <row r="43" spans="1:4" x14ac:dyDescent="0.45">
      <c r="A43" s="46">
        <v>44233</v>
      </c>
      <c r="B43" s="41">
        <v>48454</v>
      </c>
      <c r="C43" s="41">
        <v>55165</v>
      </c>
      <c r="D43" s="41">
        <v>103619</v>
      </c>
    </row>
    <row r="44" spans="1:4" x14ac:dyDescent="0.45">
      <c r="A44" s="46">
        <v>44234</v>
      </c>
      <c r="B44" s="41">
        <v>32850</v>
      </c>
      <c r="C44" s="41">
        <v>26523</v>
      </c>
      <c r="D44" s="41">
        <v>59373</v>
      </c>
    </row>
    <row r="45" spans="1:4" x14ac:dyDescent="0.45">
      <c r="A45" s="46">
        <v>44235</v>
      </c>
      <c r="B45" s="41">
        <v>55759</v>
      </c>
      <c r="C45" s="41">
        <v>51621</v>
      </c>
      <c r="D45" s="41">
        <v>107380</v>
      </c>
    </row>
    <row r="46" spans="1:4" x14ac:dyDescent="0.45">
      <c r="A46" s="46">
        <v>44236</v>
      </c>
      <c r="B46" s="41">
        <v>59941</v>
      </c>
      <c r="C46" s="41">
        <v>64500</v>
      </c>
      <c r="D46" s="41">
        <v>124441</v>
      </c>
    </row>
    <row r="47" spans="1:4" x14ac:dyDescent="0.45">
      <c r="A47" s="46">
        <v>44237</v>
      </c>
      <c r="B47" s="41">
        <v>74974</v>
      </c>
      <c r="C47" s="41">
        <v>73935</v>
      </c>
      <c r="D47" s="41">
        <v>148909</v>
      </c>
    </row>
    <row r="48" spans="1:4" x14ac:dyDescent="0.45">
      <c r="A48" s="46">
        <v>44238</v>
      </c>
      <c r="B48" s="41">
        <v>71212</v>
      </c>
      <c r="C48" s="41">
        <v>72328</v>
      </c>
      <c r="D48" s="41">
        <v>143540</v>
      </c>
    </row>
    <row r="49" spans="1:4" x14ac:dyDescent="0.45">
      <c r="A49" s="46">
        <v>44239</v>
      </c>
      <c r="B49" s="41">
        <v>79581</v>
      </c>
      <c r="C49" s="41">
        <v>78025</v>
      </c>
      <c r="D49" s="41">
        <v>157606</v>
      </c>
    </row>
    <row r="50" spans="1:4" x14ac:dyDescent="0.45">
      <c r="A50" s="46">
        <v>44240</v>
      </c>
      <c r="B50" s="41">
        <v>63220</v>
      </c>
      <c r="C50" s="41">
        <v>46604</v>
      </c>
      <c r="D50" s="41">
        <v>109824</v>
      </c>
    </row>
    <row r="51" spans="1:4" x14ac:dyDescent="0.45">
      <c r="A51" s="46">
        <v>44241</v>
      </c>
      <c r="B51" s="41">
        <v>39784</v>
      </c>
      <c r="C51" s="41">
        <v>26983</v>
      </c>
      <c r="D51" s="41">
        <v>66767</v>
      </c>
    </row>
    <row r="52" spans="1:4" x14ac:dyDescent="0.45">
      <c r="A52" s="46">
        <v>44242</v>
      </c>
      <c r="B52" s="41">
        <v>70758</v>
      </c>
      <c r="C52" s="41">
        <v>55905</v>
      </c>
      <c r="D52" s="41">
        <v>126663</v>
      </c>
    </row>
    <row r="53" spans="1:4" s="40" customFormat="1" x14ac:dyDescent="0.45">
      <c r="A53" s="46">
        <v>44243</v>
      </c>
      <c r="B53" s="41">
        <v>81326</v>
      </c>
      <c r="C53" s="41">
        <v>54734</v>
      </c>
      <c r="D53" s="41">
        <v>136060</v>
      </c>
    </row>
    <row r="54" spans="1:4" s="40" customFormat="1" x14ac:dyDescent="0.45">
      <c r="A54" s="46">
        <v>44244</v>
      </c>
      <c r="B54" s="41">
        <v>93793</v>
      </c>
      <c r="C54" s="41">
        <v>54580</v>
      </c>
      <c r="D54" s="41">
        <v>148373</v>
      </c>
    </row>
    <row r="55" spans="1:4" x14ac:dyDescent="0.45">
      <c r="A55" s="46">
        <v>44245</v>
      </c>
      <c r="B55" s="41">
        <v>92162</v>
      </c>
      <c r="C55" s="41">
        <v>51978</v>
      </c>
      <c r="D55" s="41">
        <v>144140</v>
      </c>
    </row>
    <row r="56" spans="1:4" s="40" customFormat="1" x14ac:dyDescent="0.45">
      <c r="A56" s="46">
        <v>44246</v>
      </c>
      <c r="B56" s="41">
        <v>95973</v>
      </c>
      <c r="C56" s="41">
        <v>53340</v>
      </c>
      <c r="D56" s="41">
        <v>149313</v>
      </c>
    </row>
    <row r="57" spans="1:4" s="40" customFormat="1" x14ac:dyDescent="0.45">
      <c r="A57" s="46">
        <v>44247</v>
      </c>
      <c r="B57" s="41">
        <v>74565</v>
      </c>
      <c r="C57" s="41">
        <v>37528</v>
      </c>
      <c r="D57" s="41">
        <v>112093</v>
      </c>
    </row>
    <row r="58" spans="1:4" s="40" customFormat="1" x14ac:dyDescent="0.45">
      <c r="A58" s="46">
        <v>44248</v>
      </c>
      <c r="B58" s="41">
        <v>56597</v>
      </c>
      <c r="C58" s="41">
        <v>29038</v>
      </c>
      <c r="D58" s="41">
        <v>85635</v>
      </c>
    </row>
    <row r="59" spans="1:4" s="40" customFormat="1" x14ac:dyDescent="0.45">
      <c r="A59" s="46">
        <v>44249</v>
      </c>
      <c r="B59" s="41">
        <v>98526</v>
      </c>
      <c r="C59" s="41">
        <v>51931</v>
      </c>
      <c r="D59" s="41">
        <v>150457</v>
      </c>
    </row>
    <row r="60" spans="1:4" s="40" customFormat="1" x14ac:dyDescent="0.45">
      <c r="A60" s="46">
        <v>44250</v>
      </c>
      <c r="B60" s="41">
        <v>102403</v>
      </c>
      <c r="C60" s="41">
        <v>54306</v>
      </c>
      <c r="D60" s="41">
        <v>156709</v>
      </c>
    </row>
    <row r="61" spans="1:4" s="40" customFormat="1" x14ac:dyDescent="0.45">
      <c r="A61" s="46">
        <v>44251</v>
      </c>
      <c r="B61" s="41">
        <v>114398</v>
      </c>
      <c r="C61" s="41">
        <v>55578</v>
      </c>
      <c r="D61" s="41">
        <v>169976</v>
      </c>
    </row>
    <row r="62" spans="1:4" s="40" customFormat="1" x14ac:dyDescent="0.45">
      <c r="A62" s="46">
        <v>44252</v>
      </c>
      <c r="B62" s="41">
        <v>120777</v>
      </c>
      <c r="C62" s="41">
        <v>48106</v>
      </c>
      <c r="D62" s="41">
        <v>168883</v>
      </c>
    </row>
    <row r="63" spans="1:4" s="40" customFormat="1" x14ac:dyDescent="0.45">
      <c r="A63" s="46">
        <v>44253</v>
      </c>
      <c r="B63" s="41">
        <v>114645</v>
      </c>
      <c r="C63" s="41">
        <v>49577</v>
      </c>
      <c r="D63" s="41">
        <v>164222</v>
      </c>
    </row>
    <row r="64" spans="1:4" x14ac:dyDescent="0.45">
      <c r="A64" s="54"/>
      <c r="B64" s="53"/>
      <c r="C64" s="51"/>
      <c r="D64" s="51"/>
    </row>
    <row r="65" spans="1:4" x14ac:dyDescent="0.45">
      <c r="A65" s="52" t="s">
        <v>19</v>
      </c>
      <c r="B65" s="41">
        <f>SUM(B2:B64)</f>
        <v>3881490</v>
      </c>
      <c r="C65" s="41">
        <f t="shared" ref="C65" si="0">SUM(C2:C64)</f>
        <v>2029047</v>
      </c>
      <c r="D65" s="41">
        <f>SUM(D2:D64)</f>
        <v>5910537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Gesamt_bis_einschl_26.02.21</vt:lpstr>
      <vt:lpstr>Indik_bis_einschl_26.02.</vt:lpstr>
      <vt:lpstr>Impfungen_proTag</vt:lpstr>
      <vt:lpstr>Indik_bis_einschl_26.02.!Bundesländer001</vt:lpstr>
      <vt:lpstr>Gesamt_bis_einschl_26.02.21!Bundesländer001_1</vt:lpstr>
      <vt:lpstr>Indik_bis_einschl_26.02.!Bundesländer001_1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2021-02-27T08:08:39Z</dcterms:created>
  <dcterms:modified xsi:type="dcterms:W3CDTF">2021-02-27T09:57:19Z</dcterms:modified>
</cp:coreProperties>
</file>