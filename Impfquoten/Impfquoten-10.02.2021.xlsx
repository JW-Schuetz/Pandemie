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defaultThemeVersion="124226"/>
  <xr:revisionPtr revIDLastSave="0" documentId="8_{7509C8EB-B4DB-424C-AE1C-8926C0C9A1B4}" xr6:coauthVersionLast="44" xr6:coauthVersionMax="44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10.02.21" sheetId="12" r:id="rId2"/>
    <sheet name="Indik_bis_einschl_10.02." sheetId="11" r:id="rId3"/>
    <sheet name="Impfungen_proTag" sheetId="10" r:id="rId4"/>
  </sheets>
  <definedNames>
    <definedName name="Bundesländer001" localSheetId="1">'Gesamt_bis_einschl_10.02.21'!#REF!</definedName>
    <definedName name="Bundesländer001" localSheetId="2">'Indik_bis_einschl_10.02.'!$G$2:$J$18</definedName>
    <definedName name="Bundesländer001_1" localSheetId="1">'Gesamt_bis_einschl_10.02.21'!$D$3:$H$19</definedName>
    <definedName name="Bundesländer001_1" localSheetId="2">'Indik_bis_einschl_10.02.'!$C$2:$F$18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2" l="1"/>
  <c r="G20" i="12"/>
  <c r="D55" i="10" l="1"/>
  <c r="C55" i="10" l="1"/>
  <c r="B55" i="10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<sst xmlns="http://schemas.openxmlformats.org/spreadsheetml/2006/main" count="108" uniqueCount="62">
  <si>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</si>
  <si>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</si>
  <si>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</si>
  <si>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</si>
  <si>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</si>
  <si>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</si>
  <si>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</si>
  <si>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</si>
  <si>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</si>
  <si>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</si>
  <si>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</si>
  <si>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</si>
  <si>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</si>
  <si>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</si>
  <si>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</si>
  <si>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</si>
  <si>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</si>
  <si>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</si>
  <si>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</si>
  <si>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</si>
  <si>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</si>
  <si>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</si>
  <si>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</si>
  <si>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</si>
  <si>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</si>
  <si>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</si>
  <si>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</si>
  <si>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</si>
  <si>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</si>
  <si>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</si>
  <si>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</si>
  <si>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</si>
  <si>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</si>
  <si>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</si>
  <si>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</si>
  <si>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</si>
  <si>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</si>
  <si>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</si>
  <si>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</si>
  <si>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</si>
  <si>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</si>
  <si>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</si>
  <si>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</si>
  <si>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</si>
  <si>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</si>
  <si>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</si>
  <si>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</si>
  <si>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</si>
  <si>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</si>
  <si>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</si>
  <si>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</si>
  <si>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</si>
  <si>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</si>
  <si>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</si>
  <si>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</si>
  <si>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</si>
  <si>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</si>
  <si>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</si>
  <si>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Durchgeführte Impfungen bundesweit und nach Bundesland bis einschließlich 10.02.21 (Gesamt_bis_einschl_10.02.21)</t>
  </si>
  <si>
    <t>Datenstand: 11.02.2021, 10:00 Uhr</t>
  </si>
  <si>
    <t xml:space="preserve">Die kumulative Zahl der Impfungen umfasst alle Impfungen, die bis einschließlich 10.02.21 durchgeführt und bis zum 11.02.21, 10:00 Uhr, dem RKI gemeldet wurden. Nachmeldungen aus zurückliegenden Tagen sind in der kumulativen Zahl der Impfungen enthalten. </t>
  </si>
  <si>
    <t>Anzahl Impfungen nach Indikation bis einschließlich 10.02.21 (Indik_bis_einschl_10.02.21)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</si>
</sst>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1" sqref="A11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59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58</v>
      </c>
    </row>
    <row r="6" spans="1:3" ht="29.25" customHeight="1" x14ac:dyDescent="0.45">
      <c r="A6" s="43" t="s">
        <v>60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61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  <row r="23" spans="1:1" x14ac:dyDescent="0.45">
      <c r="A23" s="49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C34" sqref="C34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3" style="41" customWidth="1"/>
    <col min="8" max="8" width="12.265625" style="9" customWidth="1"/>
    <col min="9" max="9" width="10" customWidth="1"/>
    <col min="11" max="12" width="11.3984375" style="41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27" t="s">
        <v>57</v>
      </c>
      <c r="H3" s="68"/>
      <c r="I3" s="55"/>
      <c r="J3" s="27" t="s">
        <v>19</v>
      </c>
      <c r="K3" s="27" t="s">
        <v>47</v>
      </c>
      <c r="L3" s="27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4">
        <v>436223</v>
      </c>
      <c r="D4" s="17">
        <v>310601</v>
      </c>
      <c r="E4" s="17">
        <v>298129</v>
      </c>
      <c r="F4" s="17">
        <v>12472</v>
      </c>
      <c r="G4" s="17">
        <v>0</v>
      </c>
      <c r="H4" s="17">
        <v>8684</v>
      </c>
      <c r="I4" s="33">
        <v>2.7981078869813087</v>
      </c>
      <c r="J4" s="30">
        <v>125622</v>
      </c>
      <c r="K4" s="17">
        <v>125620</v>
      </c>
      <c r="L4" s="17">
        <v>2</v>
      </c>
      <c r="M4" s="18">
        <v>5693</v>
      </c>
      <c r="N4" s="52">
        <v>1.1316895598480559</v>
      </c>
    </row>
    <row r="5" spans="1:14" x14ac:dyDescent="0.45">
      <c r="A5" s="14" t="s">
        <v>34</v>
      </c>
      <c r="B5" s="2" t="s">
        <v>0</v>
      </c>
      <c r="C5" s="35">
        <v>634320</v>
      </c>
      <c r="D5" s="22">
        <v>421168</v>
      </c>
      <c r="E5" s="22">
        <v>407966</v>
      </c>
      <c r="F5" s="22">
        <v>12026</v>
      </c>
      <c r="G5" s="22">
        <v>1176</v>
      </c>
      <c r="H5" s="23">
        <v>14846</v>
      </c>
      <c r="I5" s="24">
        <v>3.2089633491322531</v>
      </c>
      <c r="J5" s="31">
        <v>213152</v>
      </c>
      <c r="K5" s="22">
        <v>212797</v>
      </c>
      <c r="L5" s="22">
        <v>355</v>
      </c>
      <c r="M5" s="23">
        <v>4549</v>
      </c>
      <c r="N5" s="24">
        <v>1.6240477809193434</v>
      </c>
    </row>
    <row r="6" spans="1:14" x14ac:dyDescent="0.45">
      <c r="A6" s="13">
        <v>11</v>
      </c>
      <c r="B6" s="1" t="s">
        <v>3</v>
      </c>
      <c r="C6" s="34">
        <v>184559</v>
      </c>
      <c r="D6" s="17">
        <v>124426</v>
      </c>
      <c r="E6" s="17">
        <v>120163</v>
      </c>
      <c r="F6" s="17">
        <v>4056</v>
      </c>
      <c r="G6" s="17">
        <v>207</v>
      </c>
      <c r="H6" s="18">
        <v>2291</v>
      </c>
      <c r="I6" s="19">
        <v>3.3908245039979663</v>
      </c>
      <c r="J6" s="30">
        <v>60133</v>
      </c>
      <c r="K6" s="17">
        <v>60133</v>
      </c>
      <c r="L6" s="17">
        <v>0</v>
      </c>
      <c r="M6" s="18">
        <v>2405</v>
      </c>
      <c r="N6" s="19">
        <v>1.6387286411112603</v>
      </c>
    </row>
    <row r="7" spans="1:14" x14ac:dyDescent="0.45">
      <c r="A7" s="14">
        <v>12</v>
      </c>
      <c r="B7" s="2" t="s">
        <v>2</v>
      </c>
      <c r="C7" s="35">
        <v>120153</v>
      </c>
      <c r="D7" s="22">
        <v>80169</v>
      </c>
      <c r="E7" s="22">
        <v>76753</v>
      </c>
      <c r="F7" s="22">
        <v>3416</v>
      </c>
      <c r="G7" s="22">
        <v>0</v>
      </c>
      <c r="H7" s="23">
        <v>503</v>
      </c>
      <c r="I7" s="24">
        <v>3.178921548217946</v>
      </c>
      <c r="J7" s="31">
        <v>39984</v>
      </c>
      <c r="K7" s="22">
        <v>39984</v>
      </c>
      <c r="L7" s="22">
        <v>0</v>
      </c>
      <c r="M7" s="23">
        <v>6523</v>
      </c>
      <c r="N7" s="24">
        <v>1.5854756724412971</v>
      </c>
    </row>
    <row r="8" spans="1:14" x14ac:dyDescent="0.45">
      <c r="A8" s="13" t="s">
        <v>35</v>
      </c>
      <c r="B8" s="1" t="s">
        <v>4</v>
      </c>
      <c r="C8" s="34">
        <v>34513</v>
      </c>
      <c r="D8" s="17">
        <v>23132</v>
      </c>
      <c r="E8" s="17">
        <v>21801</v>
      </c>
      <c r="F8" s="17">
        <v>1269</v>
      </c>
      <c r="G8" s="17">
        <v>62</v>
      </c>
      <c r="H8" s="18">
        <v>420</v>
      </c>
      <c r="I8" s="19">
        <v>3.395762196822675</v>
      </c>
      <c r="J8" s="30">
        <v>11381</v>
      </c>
      <c r="K8" s="17">
        <v>11006</v>
      </c>
      <c r="L8" s="17">
        <v>375</v>
      </c>
      <c r="M8" s="18">
        <v>726</v>
      </c>
      <c r="N8" s="19">
        <v>1.670723221599467</v>
      </c>
    </row>
    <row r="9" spans="1:14" x14ac:dyDescent="0.45">
      <c r="A9" s="14" t="s">
        <v>36</v>
      </c>
      <c r="B9" s="2" t="s">
        <v>5</v>
      </c>
      <c r="C9" s="35">
        <v>88165</v>
      </c>
      <c r="D9" s="22">
        <v>59542</v>
      </c>
      <c r="E9" s="22">
        <v>57191</v>
      </c>
      <c r="F9" s="22">
        <v>1604</v>
      </c>
      <c r="G9" s="22">
        <v>747</v>
      </c>
      <c r="H9" s="23">
        <v>2117</v>
      </c>
      <c r="I9" s="24">
        <v>3.2232726107360499</v>
      </c>
      <c r="J9" s="31">
        <v>28623</v>
      </c>
      <c r="K9" s="22">
        <v>28623</v>
      </c>
      <c r="L9" s="22">
        <v>0</v>
      </c>
      <c r="M9" s="23">
        <v>1700</v>
      </c>
      <c r="N9" s="24">
        <v>1.5494899724076778</v>
      </c>
    </row>
    <row r="10" spans="1:14" x14ac:dyDescent="0.45">
      <c r="A10" s="13" t="s">
        <v>37</v>
      </c>
      <c r="B10" s="1" t="s">
        <v>15</v>
      </c>
      <c r="C10" s="34">
        <v>247173</v>
      </c>
      <c r="D10" s="17">
        <v>175219</v>
      </c>
      <c r="E10" s="17">
        <v>173086</v>
      </c>
      <c r="F10" s="17">
        <v>1946</v>
      </c>
      <c r="G10" s="17">
        <v>187</v>
      </c>
      <c r="H10" s="18">
        <v>4717</v>
      </c>
      <c r="I10" s="19">
        <v>2.7865262528466559</v>
      </c>
      <c r="J10" s="30">
        <v>71954</v>
      </c>
      <c r="K10" s="17">
        <v>71954</v>
      </c>
      <c r="L10" s="17">
        <v>0</v>
      </c>
      <c r="M10" s="18">
        <v>3146</v>
      </c>
      <c r="N10" s="19">
        <v>1.14429205735296</v>
      </c>
    </row>
    <row r="11" spans="1:14" x14ac:dyDescent="0.45">
      <c r="A11" s="14">
        <v>13</v>
      </c>
      <c r="B11" s="2" t="s">
        <v>6</v>
      </c>
      <c r="C11" s="36">
        <v>93200</v>
      </c>
      <c r="D11" s="22">
        <v>64308</v>
      </c>
      <c r="E11" s="22">
        <v>62549</v>
      </c>
      <c r="F11" s="22">
        <v>1759</v>
      </c>
      <c r="G11" s="22">
        <v>0</v>
      </c>
      <c r="H11" s="23">
        <v>1391</v>
      </c>
      <c r="I11" s="24">
        <v>3.9989105412595189</v>
      </c>
      <c r="J11" s="31">
        <v>28892</v>
      </c>
      <c r="K11" s="22">
        <v>28892</v>
      </c>
      <c r="L11" s="22">
        <v>0</v>
      </c>
      <c r="M11" s="23">
        <v>2654</v>
      </c>
      <c r="N11" s="24">
        <v>1.7966119823050013</v>
      </c>
    </row>
    <row r="12" spans="1:14" x14ac:dyDescent="0.45">
      <c r="A12" s="13" t="s">
        <v>38</v>
      </c>
      <c r="B12" s="1" t="s">
        <v>7</v>
      </c>
      <c r="C12" s="34">
        <v>287292</v>
      </c>
      <c r="D12" s="17">
        <v>191965</v>
      </c>
      <c r="E12" s="17">
        <v>187327</v>
      </c>
      <c r="F12" s="17">
        <v>4541</v>
      </c>
      <c r="G12" s="17">
        <v>97</v>
      </c>
      <c r="H12" s="18">
        <v>4156</v>
      </c>
      <c r="I12" s="19">
        <v>2.4014812835455528</v>
      </c>
      <c r="J12" s="30">
        <v>95327</v>
      </c>
      <c r="K12" s="17">
        <v>95327</v>
      </c>
      <c r="L12" s="17">
        <v>0</v>
      </c>
      <c r="M12" s="18">
        <v>2895</v>
      </c>
      <c r="N12" s="19">
        <v>1.1925403397314456</v>
      </c>
    </row>
    <row r="13" spans="1:14" x14ac:dyDescent="0.45">
      <c r="A13" s="14" t="s">
        <v>39</v>
      </c>
      <c r="B13" s="2" t="s">
        <v>8</v>
      </c>
      <c r="C13" s="35">
        <v>764478</v>
      </c>
      <c r="D13" s="22">
        <v>510546</v>
      </c>
      <c r="E13" s="22">
        <v>494106</v>
      </c>
      <c r="F13" s="22">
        <v>13408</v>
      </c>
      <c r="G13" s="22">
        <v>3032</v>
      </c>
      <c r="H13" s="23">
        <v>19773</v>
      </c>
      <c r="I13" s="24">
        <v>2.8447078241249719</v>
      </c>
      <c r="J13" s="31">
        <v>253932</v>
      </c>
      <c r="K13" s="22">
        <v>253932</v>
      </c>
      <c r="L13" s="22">
        <v>0</v>
      </c>
      <c r="M13" s="23">
        <v>11183</v>
      </c>
      <c r="N13" s="24">
        <v>1.4148820031803253</v>
      </c>
    </row>
    <row r="14" spans="1:14" x14ac:dyDescent="0.45">
      <c r="A14" s="13" t="s">
        <v>40</v>
      </c>
      <c r="B14" s="1" t="s">
        <v>12</v>
      </c>
      <c r="C14" s="34">
        <v>224702</v>
      </c>
      <c r="D14" s="17">
        <v>148262</v>
      </c>
      <c r="E14" s="17">
        <v>144342</v>
      </c>
      <c r="F14" s="17">
        <v>3920</v>
      </c>
      <c r="G14" s="17">
        <v>0</v>
      </c>
      <c r="H14" s="18">
        <v>218</v>
      </c>
      <c r="I14" s="19">
        <v>3.6215318242762464</v>
      </c>
      <c r="J14" s="30">
        <v>76440</v>
      </c>
      <c r="K14" s="17">
        <v>76440</v>
      </c>
      <c r="L14" s="17">
        <v>0</v>
      </c>
      <c r="M14" s="18">
        <v>7528</v>
      </c>
      <c r="N14" s="19">
        <v>1.8671668576417173</v>
      </c>
    </row>
    <row r="15" spans="1:14" x14ac:dyDescent="0.45">
      <c r="A15" s="14">
        <v>10</v>
      </c>
      <c r="B15" s="2" t="s">
        <v>13</v>
      </c>
      <c r="C15" s="35">
        <v>43581</v>
      </c>
      <c r="D15" s="22">
        <v>28066</v>
      </c>
      <c r="E15" s="22">
        <v>26490</v>
      </c>
      <c r="F15" s="22">
        <v>1456</v>
      </c>
      <c r="G15" s="22">
        <v>120</v>
      </c>
      <c r="H15" s="23">
        <v>1621</v>
      </c>
      <c r="I15" s="24">
        <v>2.843891955208651</v>
      </c>
      <c r="J15" s="31">
        <v>15515</v>
      </c>
      <c r="K15" s="22">
        <v>15515</v>
      </c>
      <c r="L15" s="22">
        <v>0</v>
      </c>
      <c r="M15" s="23">
        <v>189</v>
      </c>
      <c r="N15" s="24">
        <v>1.5721151459082954</v>
      </c>
    </row>
    <row r="16" spans="1:14" x14ac:dyDescent="0.45">
      <c r="A16" s="13">
        <v>14</v>
      </c>
      <c r="B16" s="1" t="s">
        <v>9</v>
      </c>
      <c r="C16" s="34">
        <v>170296</v>
      </c>
      <c r="D16" s="17">
        <v>117961</v>
      </c>
      <c r="E16" s="17">
        <v>114604</v>
      </c>
      <c r="F16" s="17">
        <v>3357</v>
      </c>
      <c r="G16" s="17">
        <v>0</v>
      </c>
      <c r="H16" s="18">
        <v>2688</v>
      </c>
      <c r="I16" s="19">
        <v>2.8969017706658517</v>
      </c>
      <c r="J16" s="30">
        <v>52335</v>
      </c>
      <c r="K16" s="17">
        <v>52335</v>
      </c>
      <c r="L16" s="17">
        <v>0</v>
      </c>
      <c r="M16" s="18">
        <v>3154</v>
      </c>
      <c r="N16" s="19">
        <v>1.2852498212781969</v>
      </c>
    </row>
    <row r="17" spans="1:14" x14ac:dyDescent="0.45">
      <c r="A17" s="14">
        <v>15</v>
      </c>
      <c r="B17" s="2" t="s">
        <v>10</v>
      </c>
      <c r="C17" s="35">
        <v>94397</v>
      </c>
      <c r="D17" s="22">
        <v>60685</v>
      </c>
      <c r="E17" s="22">
        <v>58705</v>
      </c>
      <c r="F17" s="22">
        <v>1611</v>
      </c>
      <c r="G17" s="22">
        <v>369</v>
      </c>
      <c r="H17" s="23">
        <v>1575</v>
      </c>
      <c r="I17" s="24">
        <v>2.7649670901255798</v>
      </c>
      <c r="J17" s="31">
        <v>33712</v>
      </c>
      <c r="K17" s="22">
        <v>33412</v>
      </c>
      <c r="L17" s="22">
        <v>300</v>
      </c>
      <c r="M17" s="23">
        <v>1843</v>
      </c>
      <c r="N17" s="24">
        <v>1.5360067651365832</v>
      </c>
    </row>
    <row r="18" spans="1:14" x14ac:dyDescent="0.45">
      <c r="A18" s="13" t="s">
        <v>41</v>
      </c>
      <c r="B18" s="1" t="s">
        <v>11</v>
      </c>
      <c r="C18" s="34">
        <v>144055</v>
      </c>
      <c r="D18" s="17">
        <v>101078</v>
      </c>
      <c r="E18" s="17">
        <v>99855</v>
      </c>
      <c r="F18" s="17">
        <v>1223</v>
      </c>
      <c r="G18" s="17">
        <v>0</v>
      </c>
      <c r="H18" s="18">
        <v>1207</v>
      </c>
      <c r="I18" s="19">
        <v>3.4809194795874197</v>
      </c>
      <c r="J18" s="30">
        <v>42977</v>
      </c>
      <c r="K18" s="17">
        <v>42977</v>
      </c>
      <c r="L18" s="17">
        <v>0</v>
      </c>
      <c r="M18" s="18">
        <v>2910</v>
      </c>
      <c r="N18" s="19">
        <v>1.4800399342510588</v>
      </c>
    </row>
    <row r="19" spans="1:14" x14ac:dyDescent="0.45">
      <c r="A19" s="14">
        <v>16</v>
      </c>
      <c r="B19" s="2" t="s">
        <v>14</v>
      </c>
      <c r="C19" s="35">
        <v>102041</v>
      </c>
      <c r="D19" s="22">
        <v>73295</v>
      </c>
      <c r="E19" s="22">
        <v>70252</v>
      </c>
      <c r="F19" s="22">
        <v>3043</v>
      </c>
      <c r="G19" s="22">
        <v>0</v>
      </c>
      <c r="H19" s="23">
        <v>2218</v>
      </c>
      <c r="I19" s="24">
        <v>3.4356311914719289</v>
      </c>
      <c r="J19" s="31">
        <v>28746</v>
      </c>
      <c r="K19" s="22">
        <v>28746</v>
      </c>
      <c r="L19" s="22">
        <v>0</v>
      </c>
      <c r="M19" s="23">
        <v>2749</v>
      </c>
      <c r="N19" s="24">
        <v>1.3474405379637364</v>
      </c>
    </row>
    <row r="20" spans="1:14" x14ac:dyDescent="0.45">
      <c r="A20" s="6"/>
      <c r="B20" s="3" t="s">
        <v>19</v>
      </c>
      <c r="C20" s="37">
        <f>D20+J20</f>
        <v>3669148</v>
      </c>
      <c r="D20" s="6">
        <f>SUM(D4:D19)</f>
        <v>2490423</v>
      </c>
      <c r="E20" s="6">
        <f>SUM(E4:E19)</f>
        <v>2413319</v>
      </c>
      <c r="F20" s="6">
        <f>SUM(F4:F19)</f>
        <v>71107</v>
      </c>
      <c r="G20" s="6">
        <f>SUM(G4:G19)</f>
        <v>5997</v>
      </c>
      <c r="H20" s="6">
        <f>SUM(H4:H19)</f>
        <v>68425</v>
      </c>
      <c r="I20" s="10">
        <f>D20/83166711*100</f>
        <v>2.9944949969225068</v>
      </c>
      <c r="J20" s="29">
        <f>SUM(J4:J19)</f>
        <v>1178725</v>
      </c>
      <c r="K20" s="6">
        <f t="shared" ref="K20:L20" si="0">SUM(K4:K19)</f>
        <v>1177693</v>
      </c>
      <c r="L20" s="6">
        <f t="shared" si="0"/>
        <v>1032</v>
      </c>
      <c r="M20" s="6">
        <f>SUM(M4:M19)</f>
        <v>59847</v>
      </c>
      <c r="N20" s="10">
        <f>J20/83166711*100</f>
        <v>1.4173038537017533</v>
      </c>
    </row>
    <row r="22" spans="1:14" s="41" customFormat="1" ht="14.25" customHeight="1" x14ac:dyDescent="0.45">
      <c r="A22" s="41" t="s">
        <v>43</v>
      </c>
    </row>
    <row r="23" spans="1:14" x14ac:dyDescent="0.45">
      <c r="D23" s="15"/>
    </row>
    <row r="27" spans="1:14" x14ac:dyDescent="0.45">
      <c r="C27" s="32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D30" sqref="D30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177265</v>
      </c>
      <c r="D3" s="18">
        <v>106920</v>
      </c>
      <c r="E3" s="18">
        <v>10272</v>
      </c>
      <c r="F3" s="21">
        <v>59288</v>
      </c>
      <c r="G3" s="20">
        <v>75463</v>
      </c>
      <c r="H3" s="18">
        <v>41493</v>
      </c>
      <c r="I3" s="18">
        <v>2238</v>
      </c>
      <c r="J3" s="21">
        <v>22901</v>
      </c>
    </row>
    <row r="4" spans="1:10" x14ac:dyDescent="0.45">
      <c r="A4" s="14" t="s">
        <v>34</v>
      </c>
      <c r="B4" s="2" t="s">
        <v>0</v>
      </c>
      <c r="C4" s="26">
        <v>158372</v>
      </c>
      <c r="D4" s="23">
        <v>210226</v>
      </c>
      <c r="E4" s="23">
        <v>10211</v>
      </c>
      <c r="F4" s="25">
        <v>99630</v>
      </c>
      <c r="G4" s="26">
        <v>70417</v>
      </c>
      <c r="H4" s="23">
        <v>109518</v>
      </c>
      <c r="I4" s="23">
        <v>3405</v>
      </c>
      <c r="J4" s="25">
        <v>66079</v>
      </c>
    </row>
    <row r="5" spans="1:10" x14ac:dyDescent="0.45">
      <c r="A5" s="13">
        <v>11</v>
      </c>
      <c r="B5" s="1" t="s">
        <v>3</v>
      </c>
      <c r="C5" s="20">
        <v>92558</v>
      </c>
      <c r="D5" s="18">
        <v>29326</v>
      </c>
      <c r="E5" s="18">
        <v>148</v>
      </c>
      <c r="F5" s="21">
        <v>35386</v>
      </c>
      <c r="G5" s="20">
        <v>40643</v>
      </c>
      <c r="H5" s="18">
        <v>17837</v>
      </c>
      <c r="I5" s="18">
        <v>30</v>
      </c>
      <c r="J5" s="21">
        <v>28668</v>
      </c>
    </row>
    <row r="6" spans="1:10" x14ac:dyDescent="0.45">
      <c r="A6" s="14">
        <v>12</v>
      </c>
      <c r="B6" s="2" t="s">
        <v>2</v>
      </c>
      <c r="C6" s="26">
        <v>36493</v>
      </c>
      <c r="D6" s="23">
        <v>40378</v>
      </c>
      <c r="E6" s="23">
        <v>1227</v>
      </c>
      <c r="F6" s="25">
        <v>18270</v>
      </c>
      <c r="G6" s="26">
        <v>15012</v>
      </c>
      <c r="H6" s="23">
        <v>24382</v>
      </c>
      <c r="I6" s="23">
        <v>446</v>
      </c>
      <c r="J6" s="25">
        <v>8083</v>
      </c>
    </row>
    <row r="7" spans="1:10" x14ac:dyDescent="0.45">
      <c r="A7" s="13" t="s">
        <v>35</v>
      </c>
      <c r="B7" s="1" t="s">
        <v>4</v>
      </c>
      <c r="C7" s="20">
        <v>11192</v>
      </c>
      <c r="D7" s="18">
        <v>8852</v>
      </c>
      <c r="E7" s="18">
        <v>187</v>
      </c>
      <c r="F7" s="21">
        <v>7429</v>
      </c>
      <c r="G7" s="20">
        <v>4215</v>
      </c>
      <c r="H7" s="18">
        <v>5115</v>
      </c>
      <c r="I7" s="18">
        <v>75</v>
      </c>
      <c r="J7" s="21">
        <v>4641</v>
      </c>
    </row>
    <row r="8" spans="1:10" x14ac:dyDescent="0.45">
      <c r="A8" s="14" t="s">
        <v>36</v>
      </c>
      <c r="B8" s="2" t="s">
        <v>5</v>
      </c>
      <c r="C8" s="26">
        <v>24145</v>
      </c>
      <c r="D8" s="23">
        <v>29271</v>
      </c>
      <c r="E8" s="23">
        <v>1869</v>
      </c>
      <c r="F8" s="25">
        <v>13289</v>
      </c>
      <c r="G8" s="26">
        <v>10087</v>
      </c>
      <c r="H8" s="23">
        <v>16273</v>
      </c>
      <c r="I8" s="23">
        <v>191</v>
      </c>
      <c r="J8" s="25">
        <v>7266</v>
      </c>
    </row>
    <row r="9" spans="1:10" x14ac:dyDescent="0.45">
      <c r="A9" s="13" t="s">
        <v>37</v>
      </c>
      <c r="B9" s="1" t="s">
        <v>15</v>
      </c>
      <c r="C9" s="20">
        <v>82989</v>
      </c>
      <c r="D9" s="18">
        <v>70183</v>
      </c>
      <c r="E9" s="18">
        <v>5581</v>
      </c>
      <c r="F9" s="21">
        <v>42000</v>
      </c>
      <c r="G9" s="20">
        <v>18203</v>
      </c>
      <c r="H9" s="18">
        <v>39051</v>
      </c>
      <c r="I9" s="18">
        <v>5222</v>
      </c>
      <c r="J9" s="21">
        <v>26169</v>
      </c>
    </row>
    <row r="10" spans="1:10" x14ac:dyDescent="0.45">
      <c r="A10" s="14">
        <v>13</v>
      </c>
      <c r="B10" s="2" t="s">
        <v>6</v>
      </c>
      <c r="C10" s="26">
        <v>14268</v>
      </c>
      <c r="D10" s="23">
        <v>27534</v>
      </c>
      <c r="E10" s="23">
        <v>1299</v>
      </c>
      <c r="F10" s="25">
        <v>21944</v>
      </c>
      <c r="G10" s="26">
        <v>2393</v>
      </c>
      <c r="H10" s="23">
        <v>16522</v>
      </c>
      <c r="I10" s="23">
        <v>332</v>
      </c>
      <c r="J10" s="25">
        <v>10252</v>
      </c>
    </row>
    <row r="11" spans="1:10" x14ac:dyDescent="0.45">
      <c r="A11" s="13" t="s">
        <v>38</v>
      </c>
      <c r="B11" s="1" t="s">
        <v>7</v>
      </c>
      <c r="C11" s="20">
        <v>46503</v>
      </c>
      <c r="D11" s="18">
        <v>99916</v>
      </c>
      <c r="E11" s="18">
        <v>29342</v>
      </c>
      <c r="F11" s="21">
        <v>78743</v>
      </c>
      <c r="G11" s="20">
        <v>18741</v>
      </c>
      <c r="H11" s="18">
        <v>50923</v>
      </c>
      <c r="I11" s="18">
        <v>14690</v>
      </c>
      <c r="J11" s="21">
        <v>42602</v>
      </c>
    </row>
    <row r="12" spans="1:10" x14ac:dyDescent="0.45">
      <c r="A12" s="14" t="s">
        <v>39</v>
      </c>
      <c r="B12" s="2" t="s">
        <v>8</v>
      </c>
      <c r="C12" s="26">
        <v>90898</v>
      </c>
      <c r="D12" s="23">
        <v>301617</v>
      </c>
      <c r="E12" s="23">
        <v>12823</v>
      </c>
      <c r="F12" s="25">
        <v>168683</v>
      </c>
      <c r="G12" s="26">
        <v>43551</v>
      </c>
      <c r="H12" s="23">
        <v>139985</v>
      </c>
      <c r="I12" s="23">
        <v>8731</v>
      </c>
      <c r="J12" s="25">
        <v>108924</v>
      </c>
    </row>
    <row r="13" spans="1:10" x14ac:dyDescent="0.45">
      <c r="A13" s="13" t="s">
        <v>40</v>
      </c>
      <c r="B13" s="1" t="s">
        <v>12</v>
      </c>
      <c r="C13" s="20">
        <v>52512</v>
      </c>
      <c r="D13" s="18">
        <v>60209</v>
      </c>
      <c r="E13" s="18">
        <v>94</v>
      </c>
      <c r="F13" s="21">
        <v>35447</v>
      </c>
      <c r="G13" s="20">
        <v>32114</v>
      </c>
      <c r="H13" s="18">
        <v>29763</v>
      </c>
      <c r="I13" s="18">
        <v>50</v>
      </c>
      <c r="J13" s="21">
        <v>14513</v>
      </c>
    </row>
    <row r="14" spans="1:10" x14ac:dyDescent="0.45">
      <c r="A14" s="14">
        <v>10</v>
      </c>
      <c r="B14" s="2" t="s">
        <v>13</v>
      </c>
      <c r="C14" s="26">
        <v>18200</v>
      </c>
      <c r="D14" s="23">
        <v>7655</v>
      </c>
      <c r="E14" s="23">
        <v>0</v>
      </c>
      <c r="F14" s="25">
        <v>7521</v>
      </c>
      <c r="G14" s="26">
        <v>11356</v>
      </c>
      <c r="H14" s="23">
        <v>2569</v>
      </c>
      <c r="I14" s="23">
        <v>0</v>
      </c>
      <c r="J14" s="25">
        <v>5186</v>
      </c>
    </row>
    <row r="15" spans="1:10" x14ac:dyDescent="0.45">
      <c r="A15" s="13">
        <v>14</v>
      </c>
      <c r="B15" s="1" t="s">
        <v>9</v>
      </c>
      <c r="C15" s="20">
        <v>24328</v>
      </c>
      <c r="D15" s="18">
        <v>68043</v>
      </c>
      <c r="E15" s="18">
        <v>3436</v>
      </c>
      <c r="F15" s="21">
        <v>28118</v>
      </c>
      <c r="G15" s="20">
        <v>11303</v>
      </c>
      <c r="H15" s="18">
        <v>29887</v>
      </c>
      <c r="I15" s="18">
        <v>3232</v>
      </c>
      <c r="J15" s="21">
        <v>7412</v>
      </c>
    </row>
    <row r="16" spans="1:10" x14ac:dyDescent="0.45">
      <c r="A16" s="14">
        <v>15</v>
      </c>
      <c r="B16" s="2" t="s">
        <v>10</v>
      </c>
      <c r="C16" s="26">
        <v>21647</v>
      </c>
      <c r="D16" s="23">
        <v>29685</v>
      </c>
      <c r="E16" s="23">
        <v>2801</v>
      </c>
      <c r="F16" s="25">
        <v>20543</v>
      </c>
      <c r="G16" s="26">
        <v>11252</v>
      </c>
      <c r="H16" s="23">
        <v>16868</v>
      </c>
      <c r="I16" s="23">
        <v>2107</v>
      </c>
      <c r="J16" s="25">
        <v>13194</v>
      </c>
    </row>
    <row r="17" spans="1:11" x14ac:dyDescent="0.45">
      <c r="A17" s="13" t="s">
        <v>41</v>
      </c>
      <c r="B17" s="1" t="s">
        <v>11</v>
      </c>
      <c r="C17" s="20">
        <v>29366</v>
      </c>
      <c r="D17" s="18">
        <v>29930</v>
      </c>
      <c r="E17" s="18">
        <v>6550</v>
      </c>
      <c r="F17" s="21">
        <v>31503</v>
      </c>
      <c r="G17" s="20">
        <v>22721</v>
      </c>
      <c r="H17" s="18">
        <v>14964</v>
      </c>
      <c r="I17" s="18">
        <v>4030</v>
      </c>
      <c r="J17" s="21">
        <v>11484</v>
      </c>
      <c r="K17" s="41"/>
    </row>
    <row r="18" spans="1:11" x14ac:dyDescent="0.45">
      <c r="A18" s="14">
        <v>16</v>
      </c>
      <c r="B18" s="2" t="s">
        <v>14</v>
      </c>
      <c r="C18" s="23">
        <v>32429</v>
      </c>
      <c r="D18" s="23">
        <v>31896</v>
      </c>
      <c r="E18" s="23">
        <v>3217</v>
      </c>
      <c r="F18" s="25">
        <v>8654</v>
      </c>
      <c r="G18" s="23">
        <v>10337</v>
      </c>
      <c r="H18" s="23">
        <v>16505</v>
      </c>
      <c r="I18" s="23">
        <v>1062</v>
      </c>
      <c r="J18" s="25">
        <v>3530</v>
      </c>
    </row>
    <row r="19" spans="1:11" x14ac:dyDescent="0.45">
      <c r="A19" s="6"/>
      <c r="B19" s="3" t="s">
        <v>19</v>
      </c>
      <c r="C19" s="4">
        <f>SUM(C3:C18)</f>
        <v>913165</v>
      </c>
      <c r="D19" s="5">
        <f t="shared" ref="D19:J19" si="0">SUM(D3:D18)</f>
        <v>1151641</v>
      </c>
      <c r="E19" s="5">
        <f t="shared" si="0"/>
        <v>89057</v>
      </c>
      <c r="F19" s="11">
        <f t="shared" si="0"/>
        <v>676448</v>
      </c>
      <c r="G19" s="4">
        <f t="shared" si="0"/>
        <v>397808</v>
      </c>
      <c r="H19" s="5">
        <f t="shared" si="0"/>
        <v>571655</v>
      </c>
      <c r="I19" s="5">
        <f t="shared" si="0"/>
        <v>45841</v>
      </c>
      <c r="J19" s="11">
        <f t="shared" si="0"/>
        <v>380904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5"/>
  <sheetViews>
    <sheetView topLeftCell="A16" workbookViewId="0">
      <selection activeCell="G41" sqref="G41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23894</v>
      </c>
      <c r="C2" s="46">
        <v>0</v>
      </c>
      <c r="D2" s="46">
        <v>23894</v>
      </c>
    </row>
    <row r="3" spans="1:4" x14ac:dyDescent="0.45">
      <c r="A3" s="48">
        <v>44193</v>
      </c>
      <c r="B3" s="42">
        <v>19830</v>
      </c>
      <c r="C3" s="46">
        <v>0</v>
      </c>
      <c r="D3" s="46">
        <v>19830</v>
      </c>
    </row>
    <row r="4" spans="1:4" x14ac:dyDescent="0.45">
      <c r="A4" s="48">
        <v>44194</v>
      </c>
      <c r="B4" s="42">
        <v>43460</v>
      </c>
      <c r="C4" s="46">
        <v>0</v>
      </c>
      <c r="D4" s="46">
        <v>43460</v>
      </c>
    </row>
    <row r="5" spans="1:4" x14ac:dyDescent="0.45">
      <c r="A5" s="48">
        <v>44195</v>
      </c>
      <c r="B5" s="42">
        <v>57805</v>
      </c>
      <c r="C5" s="46">
        <v>0</v>
      </c>
      <c r="D5" s="46">
        <v>57805</v>
      </c>
    </row>
    <row r="6" spans="1:4" x14ac:dyDescent="0.45">
      <c r="A6" s="48">
        <v>44196</v>
      </c>
      <c r="B6" s="42">
        <v>38057</v>
      </c>
      <c r="C6" s="46">
        <v>0</v>
      </c>
      <c r="D6" s="46">
        <v>38057</v>
      </c>
    </row>
    <row r="7" spans="1:4" x14ac:dyDescent="0.45">
      <c r="A7" s="48">
        <v>44197</v>
      </c>
      <c r="B7" s="42">
        <v>24457</v>
      </c>
      <c r="C7" s="46">
        <v>0</v>
      </c>
      <c r="D7" s="46">
        <v>24457</v>
      </c>
    </row>
    <row r="8" spans="1:4" x14ac:dyDescent="0.45">
      <c r="A8" s="48">
        <v>44198</v>
      </c>
      <c r="B8" s="42">
        <v>51280</v>
      </c>
      <c r="C8" s="46">
        <v>0</v>
      </c>
      <c r="D8" s="46">
        <v>51280</v>
      </c>
    </row>
    <row r="9" spans="1:4" x14ac:dyDescent="0.45">
      <c r="A9" s="48">
        <v>44199</v>
      </c>
      <c r="B9" s="42">
        <v>25244</v>
      </c>
      <c r="C9" s="46">
        <v>0</v>
      </c>
      <c r="D9" s="46">
        <v>25244</v>
      </c>
    </row>
    <row r="10" spans="1:4" x14ac:dyDescent="0.45">
      <c r="A10" s="48">
        <v>44200</v>
      </c>
      <c r="B10" s="42">
        <v>48881</v>
      </c>
      <c r="C10" s="46">
        <v>0</v>
      </c>
      <c r="D10" s="46">
        <v>48881</v>
      </c>
    </row>
    <row r="11" spans="1:4" x14ac:dyDescent="0.45">
      <c r="A11" s="48">
        <v>44201</v>
      </c>
      <c r="B11" s="42">
        <v>52355</v>
      </c>
      <c r="C11" s="46">
        <v>0</v>
      </c>
      <c r="D11" s="46">
        <v>52355</v>
      </c>
    </row>
    <row r="12" spans="1:4" x14ac:dyDescent="0.45">
      <c r="A12" s="48">
        <v>44202</v>
      </c>
      <c r="B12" s="42">
        <v>58300</v>
      </c>
      <c r="C12" s="46">
        <v>0</v>
      </c>
      <c r="D12" s="46">
        <v>58300</v>
      </c>
    </row>
    <row r="13" spans="1:4" x14ac:dyDescent="0.45">
      <c r="A13" s="48">
        <v>44203</v>
      </c>
      <c r="B13" s="42">
        <v>58564</v>
      </c>
      <c r="C13" s="46">
        <v>0</v>
      </c>
      <c r="D13" s="46">
        <v>58564</v>
      </c>
    </row>
    <row r="14" spans="1:4" x14ac:dyDescent="0.45">
      <c r="A14" s="48">
        <v>44204</v>
      </c>
      <c r="B14" s="42">
        <v>59920</v>
      </c>
      <c r="C14" s="46">
        <v>0</v>
      </c>
      <c r="D14" s="46">
        <v>59920</v>
      </c>
    </row>
    <row r="15" spans="1:4" x14ac:dyDescent="0.45">
      <c r="A15" s="48">
        <v>44205</v>
      </c>
      <c r="B15" s="42">
        <v>56624</v>
      </c>
      <c r="C15" s="46">
        <v>0</v>
      </c>
      <c r="D15" s="46">
        <v>56624</v>
      </c>
    </row>
    <row r="16" spans="1:4" x14ac:dyDescent="0.45">
      <c r="A16" s="48">
        <v>44206</v>
      </c>
      <c r="B16" s="42">
        <v>33227</v>
      </c>
      <c r="C16" s="46">
        <v>0</v>
      </c>
      <c r="D16" s="46">
        <v>33227</v>
      </c>
    </row>
    <row r="17" spans="1:4" x14ac:dyDescent="0.45">
      <c r="A17" s="48">
        <v>44207</v>
      </c>
      <c r="B17" s="42">
        <v>65580</v>
      </c>
      <c r="C17" s="46">
        <v>0</v>
      </c>
      <c r="D17" s="46">
        <v>65580</v>
      </c>
    </row>
    <row r="18" spans="1:4" x14ac:dyDescent="0.45">
      <c r="A18" s="48">
        <v>44208</v>
      </c>
      <c r="B18" s="42">
        <v>81891</v>
      </c>
      <c r="C18" s="46">
        <v>0</v>
      </c>
      <c r="D18" s="46">
        <v>81891</v>
      </c>
    </row>
    <row r="19" spans="1:4" x14ac:dyDescent="0.45">
      <c r="A19" s="48">
        <v>44209</v>
      </c>
      <c r="B19" s="42">
        <v>98546</v>
      </c>
      <c r="C19" s="46">
        <v>0</v>
      </c>
      <c r="D19" s="46">
        <v>98546</v>
      </c>
    </row>
    <row r="20" spans="1:4" x14ac:dyDescent="0.45">
      <c r="A20" s="48">
        <v>44210</v>
      </c>
      <c r="B20" s="42">
        <v>100372</v>
      </c>
      <c r="C20" s="46">
        <v>129</v>
      </c>
      <c r="D20" s="46">
        <v>100501</v>
      </c>
    </row>
    <row r="21" spans="1:4" x14ac:dyDescent="0.45">
      <c r="A21" s="48">
        <v>44211</v>
      </c>
      <c r="B21" s="42">
        <v>92319</v>
      </c>
      <c r="C21" s="46">
        <v>497</v>
      </c>
      <c r="D21" s="46">
        <v>92816</v>
      </c>
    </row>
    <row r="22" spans="1:4" x14ac:dyDescent="0.45">
      <c r="A22" s="48">
        <v>44212</v>
      </c>
      <c r="B22" s="42">
        <v>56369</v>
      </c>
      <c r="C22" s="46">
        <v>444</v>
      </c>
      <c r="D22" s="46">
        <v>56813</v>
      </c>
    </row>
    <row r="23" spans="1:4" x14ac:dyDescent="0.45">
      <c r="A23" s="48">
        <v>44213</v>
      </c>
      <c r="B23" s="42">
        <v>30947</v>
      </c>
      <c r="C23" s="46">
        <v>13601</v>
      </c>
      <c r="D23" s="46">
        <v>44548</v>
      </c>
    </row>
    <row r="24" spans="1:4" x14ac:dyDescent="0.45">
      <c r="A24" s="48">
        <v>44214</v>
      </c>
      <c r="B24" s="42">
        <v>57920</v>
      </c>
      <c r="C24" s="46">
        <v>16427</v>
      </c>
      <c r="D24" s="46">
        <v>74347</v>
      </c>
    </row>
    <row r="25" spans="1:4" x14ac:dyDescent="0.45">
      <c r="A25" s="48">
        <v>44215</v>
      </c>
      <c r="B25" s="42">
        <v>67407</v>
      </c>
      <c r="C25" s="46">
        <v>26987</v>
      </c>
      <c r="D25" s="46">
        <v>94394</v>
      </c>
    </row>
    <row r="26" spans="1:4" x14ac:dyDescent="0.45">
      <c r="A26" s="48">
        <v>44216</v>
      </c>
      <c r="B26" s="42">
        <v>77462</v>
      </c>
      <c r="C26" s="46">
        <v>50275</v>
      </c>
      <c r="D26" s="46">
        <v>127737</v>
      </c>
    </row>
    <row r="27" spans="1:4" x14ac:dyDescent="0.45">
      <c r="A27" s="48">
        <v>44217</v>
      </c>
      <c r="B27" s="42">
        <v>60041</v>
      </c>
      <c r="C27" s="46">
        <v>34640</v>
      </c>
      <c r="D27" s="46">
        <v>94681</v>
      </c>
    </row>
    <row r="28" spans="1:4" x14ac:dyDescent="0.45">
      <c r="A28" s="48">
        <v>44218</v>
      </c>
      <c r="B28" s="42">
        <v>83587</v>
      </c>
      <c r="C28" s="46">
        <v>30480</v>
      </c>
      <c r="D28" s="46">
        <v>114067</v>
      </c>
    </row>
    <row r="29" spans="1:4" x14ac:dyDescent="0.45">
      <c r="A29" s="48">
        <v>44219</v>
      </c>
      <c r="B29" s="42">
        <v>48497</v>
      </c>
      <c r="C29" s="46">
        <v>42713</v>
      </c>
      <c r="D29" s="46">
        <v>91210</v>
      </c>
    </row>
    <row r="30" spans="1:4" x14ac:dyDescent="0.45">
      <c r="A30" s="48">
        <v>44220</v>
      </c>
      <c r="B30" s="42">
        <v>37907</v>
      </c>
      <c r="C30" s="46">
        <v>27746</v>
      </c>
      <c r="D30" s="46">
        <v>65653</v>
      </c>
    </row>
    <row r="31" spans="1:4" x14ac:dyDescent="0.45">
      <c r="A31" s="48">
        <v>44221</v>
      </c>
      <c r="B31" s="42">
        <v>57519</v>
      </c>
      <c r="C31" s="42">
        <v>39152</v>
      </c>
      <c r="D31" s="42">
        <v>96671</v>
      </c>
    </row>
    <row r="32" spans="1:4" x14ac:dyDescent="0.45">
      <c r="A32" s="48">
        <v>44222</v>
      </c>
      <c r="B32" s="42">
        <v>53078</v>
      </c>
      <c r="C32" s="42">
        <v>48913</v>
      </c>
      <c r="D32" s="42">
        <v>101991</v>
      </c>
    </row>
    <row r="33" spans="1:4" x14ac:dyDescent="0.45">
      <c r="A33" s="48">
        <v>44223</v>
      </c>
      <c r="B33" s="42">
        <v>53804</v>
      </c>
      <c r="C33" s="42">
        <v>58010</v>
      </c>
      <c r="D33" s="42">
        <v>111814</v>
      </c>
    </row>
    <row r="34" spans="1:4" x14ac:dyDescent="0.45">
      <c r="A34" s="48">
        <v>44224</v>
      </c>
      <c r="B34" s="42">
        <v>51521</v>
      </c>
      <c r="C34" s="42">
        <v>48498</v>
      </c>
      <c r="D34" s="42">
        <v>100019</v>
      </c>
    </row>
    <row r="35" spans="1:4" x14ac:dyDescent="0.45">
      <c r="A35" s="48">
        <v>44225</v>
      </c>
      <c r="B35" s="42">
        <v>56460</v>
      </c>
      <c r="C35" s="42">
        <v>52518</v>
      </c>
      <c r="D35" s="42">
        <v>108978</v>
      </c>
    </row>
    <row r="36" spans="1:4" x14ac:dyDescent="0.45">
      <c r="A36" s="48">
        <v>44226</v>
      </c>
      <c r="B36" s="42">
        <v>38424</v>
      </c>
      <c r="C36" s="42">
        <v>46898</v>
      </c>
      <c r="D36" s="42">
        <v>85322</v>
      </c>
    </row>
    <row r="37" spans="1:4" x14ac:dyDescent="0.45">
      <c r="A37" s="48">
        <v>44227</v>
      </c>
      <c r="B37" s="42">
        <v>31222</v>
      </c>
      <c r="C37" s="42">
        <v>31132</v>
      </c>
      <c r="D37" s="42">
        <v>62354</v>
      </c>
    </row>
    <row r="38" spans="1:4" x14ac:dyDescent="0.45">
      <c r="A38" s="48">
        <v>44228</v>
      </c>
      <c r="B38" s="42">
        <v>48183</v>
      </c>
      <c r="C38" s="42">
        <v>64961</v>
      </c>
      <c r="D38" s="42">
        <v>113144</v>
      </c>
    </row>
    <row r="39" spans="1:4" x14ac:dyDescent="0.45">
      <c r="A39" s="48">
        <v>44229</v>
      </c>
      <c r="B39" s="42">
        <v>56232</v>
      </c>
      <c r="C39" s="42">
        <v>68783</v>
      </c>
      <c r="D39" s="42">
        <v>125015</v>
      </c>
    </row>
    <row r="40" spans="1:4" x14ac:dyDescent="0.45">
      <c r="A40" s="48">
        <v>44230</v>
      </c>
      <c r="B40" s="42">
        <v>55087</v>
      </c>
      <c r="C40" s="42">
        <v>81781</v>
      </c>
      <c r="D40" s="42">
        <v>136868</v>
      </c>
    </row>
    <row r="41" spans="1:4" x14ac:dyDescent="0.45">
      <c r="A41" s="48">
        <v>44231</v>
      </c>
      <c r="B41" s="42">
        <v>61269</v>
      </c>
      <c r="C41" s="42">
        <v>71615</v>
      </c>
      <c r="D41" s="42">
        <v>132884</v>
      </c>
    </row>
    <row r="42" spans="1:4" x14ac:dyDescent="0.45">
      <c r="A42" s="48">
        <v>44232</v>
      </c>
      <c r="B42" s="42">
        <v>57713</v>
      </c>
      <c r="C42" s="42">
        <v>71080</v>
      </c>
      <c r="D42" s="42">
        <v>128793</v>
      </c>
    </row>
    <row r="43" spans="1:4" x14ac:dyDescent="0.45">
      <c r="A43" s="48">
        <v>44233</v>
      </c>
      <c r="B43" s="42">
        <v>46295</v>
      </c>
      <c r="C43" s="42">
        <v>53700</v>
      </c>
      <c r="D43" s="42">
        <v>99995</v>
      </c>
    </row>
    <row r="44" spans="1:4" x14ac:dyDescent="0.45">
      <c r="A44" s="48">
        <v>44234</v>
      </c>
      <c r="B44" s="42">
        <v>32341</v>
      </c>
      <c r="C44" s="42">
        <v>25984</v>
      </c>
      <c r="D44" s="42">
        <v>58325</v>
      </c>
    </row>
    <row r="45" spans="1:4" x14ac:dyDescent="0.45">
      <c r="A45" s="48">
        <v>44235</v>
      </c>
      <c r="B45" s="42">
        <v>49470</v>
      </c>
      <c r="C45" s="42">
        <v>47530</v>
      </c>
      <c r="D45" s="42">
        <v>97000</v>
      </c>
    </row>
    <row r="46" spans="1:4" x14ac:dyDescent="0.45">
      <c r="A46" s="48">
        <v>44236</v>
      </c>
      <c r="B46" s="42">
        <v>62637</v>
      </c>
      <c r="C46" s="42">
        <v>64384</v>
      </c>
      <c r="D46" s="42">
        <v>127021</v>
      </c>
    </row>
    <row r="47" spans="1:4" x14ac:dyDescent="0.45">
      <c r="A47" s="48">
        <v>44237</v>
      </c>
      <c r="B47" s="42">
        <v>68425</v>
      </c>
      <c r="C47" s="42">
        <v>59847</v>
      </c>
      <c r="D47" s="42">
        <v>128272</v>
      </c>
    </row>
    <row r="48" spans="1:4" x14ac:dyDescent="0.45">
      <c r="B48" s="53"/>
      <c r="C48" s="53"/>
      <c r="D48" s="53"/>
    </row>
    <row r="49" spans="1:4" x14ac:dyDescent="0.45">
      <c r="B49" s="53"/>
      <c r="C49" s="53"/>
      <c r="D49" s="53"/>
    </row>
    <row r="50" spans="1:4" x14ac:dyDescent="0.45">
      <c r="B50" s="53"/>
      <c r="C50" s="53"/>
      <c r="D50" s="53"/>
    </row>
    <row r="51" spans="1:4" x14ac:dyDescent="0.45">
      <c r="B51" s="53"/>
      <c r="C51" s="53"/>
      <c r="D51" s="53"/>
    </row>
    <row r="52" spans="1:4" x14ac:dyDescent="0.45">
      <c r="B52" s="53"/>
      <c r="C52" s="53"/>
      <c r="D52" s="53"/>
    </row>
    <row r="53" spans="1:4" x14ac:dyDescent="0.45">
      <c r="B53" s="53"/>
      <c r="C53" s="53"/>
      <c r="D53" s="53"/>
    </row>
    <row r="54" spans="1:4" x14ac:dyDescent="0.45">
      <c r="B54" s="53"/>
      <c r="C54" s="53"/>
      <c r="D54" s="53"/>
    </row>
    <row r="55" spans="1:4" x14ac:dyDescent="0.45">
      <c r="A55" s="16" t="s">
        <v>19</v>
      </c>
      <c r="B55" s="53">
        <f>SUM(B2:B54)</f>
        <v>2490423</v>
      </c>
      <c r="C55" s="53">
        <f t="shared" ref="C55" si="0">SUM(C2:C54)</f>
        <v>1178725</v>
      </c>
      <c r="D55" s="53">
        <f>SUM(D2:D54)</f>
        <v>3669148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Gesamt_bis_einschl_10.02.21</vt:lpstr>
      <vt:lpstr>Indik_bis_einschl_10.02.</vt:lpstr>
      <vt:lpstr>Impfungen_proTag</vt:lpstr>
      <vt:lpstr>Indik_bis_einschl_10.02.!Bundesländer001</vt:lpstr>
      <vt:lpstr>Gesamt_bis_einschl_10.02.21!Bundesländer001_1</vt:lpstr>
      <vt:lpstr>Indik_bis_einschl_10.02.!Bundesländer001_1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2021-02-11T11:19:47Z</dcterms:created>
  <dcterms:modified xsi:type="dcterms:W3CDTF">2021-02-11T18:13:15Z</dcterms:modified>
</cp:coreProperties>
</file>