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 defaultThemeVersion="124226"/>
  <xr:revisionPtr revIDLastSave="0" documentId="8_{05DAFE10-77F5-4125-B13E-E4320CE1E81E}" xr6:coauthVersionLast="46" xr6:coauthVersionMax="46" xr10:uidLastSave="{00000000-0000-0000-0000-000000000000}"/>
  <bookViews>
    <workbookView xWindow="-98" yWindow="-98" windowWidth="19396" windowHeight="10996" activeTab="1" xr2:uid="{00000000-000D-0000-FFFF-FFFF00000000}"/>
  </bookViews>
  <sheets>
    <sheet name="Erläuterung" sheetId="9" r:id="rId1"/>
    <sheet name="Gesamt_bis_einschl_29.01.21" sheetId="12" r:id="rId2"/>
    <sheet name="Indik_bis_einschl_29.01." sheetId="11" r:id="rId3"/>
    <sheet name="Impfungen_proTag" sheetId="10" r:id="rId4"/>
  </sheets>
  <definedNames>
    <definedName name="Bundesländer001" localSheetId="1">Gesamt_bis_einschl_29.01.21!#REF!</definedName>
    <definedName name="Bundesländer001" localSheetId="2">Indik_bis_einschl_29.01.!$G$2:$J$18</definedName>
    <definedName name="Bundesländer001_1" localSheetId="1">Gesamt_bis_einschl_29.01.21!$D$3:$G$19</definedName>
    <definedName name="Bundesländer001_1" localSheetId="2">Indik_bis_einschl_29.01.!$C$2:$F$18</definedName>
  </definedNames>
  <calcPr calcId="191029"/>
</workbook>
</file>

<file path=xl/calcChain.xml><?xml version="1.0" encoding="utf-8"?>
<calcChain xmlns="http://schemas.openxmlformats.org/spreadsheetml/2006/main">
  <c r="D39" i="10" l="1"/>
  <c r="B39" i="10" l="1"/>
  <c r="C39" i="10" l="1"/>
  <c r="D19" i="11"/>
  <c r="E19" i="11"/>
  <c r="F19" i="11"/>
  <c r="G19" i="11"/>
  <c r="H19" i="11"/>
  <c r="I19" i="11"/>
  <c r="J19" i="11"/>
  <c r="C19" i="11"/>
  <c r="G20" i="12" l="1"/>
  <c r="E20" i="12" l="1"/>
  <c r="F20" i="12"/>
  <c r="J20" i="12" l="1"/>
  <c r="I20" i="12"/>
  <c r="D20" i="12"/>
  <c r="C20" i="12" l="1"/>
  <c r="H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<sst xmlns="http://schemas.openxmlformats.org/spreadsheetml/2006/main" count="104" uniqueCount="61">
  <si>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</si>
  <si>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</si>
  <si>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</si>
  <si>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</si>
  <si>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</si>
  <si>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</si>
  <si>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</si>
  <si>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</si>
  <si>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</si>
  <si>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</si>
  <si>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</si>
  <si>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</si>
  <si>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</si>
  <si>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</si>
  <si>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</si>
  <si>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</si>
  <si>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</si>
  <si>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</si>
  <si>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</si>
  <si>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</si>
  <si>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</si>
  <si>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</si>
  <si>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</si>
  <si>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</si>
  <si>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</si>
  <si>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</si>
  <si>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</si>
  <si>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</si>
  <si>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</si>
  <si>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</si>
  <si>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</si>
  <si>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</si>
  <si>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</si>
  <si>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</si>
  <si>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</si>
  <si>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</si>
  <si>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</si>
  <si>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</si>
  <si>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</si>
  <si>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</si>
  <si>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</si>
  <si>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</si>
  <si>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</si>
  <si>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</si>
  <si>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</si>
  <si>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</si>
  <si>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</si>
  <si>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</si>
  <si>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</si>
  <si>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</si>
  <si>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</si>
  <si>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</si>
  <si>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</si>
  <si>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</si>
  <si>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</si>
  <si>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</si>
  <si>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Datenstand: 30.01.2021, 10:00 Uhr</t>
  </si>
  <si>
    <t>Durchgeführte Impfungen bundesweit und nach Bundesland bis einschließlich29.01.21 (Gesamt_bis_einschl_29.01.21)</t>
  </si>
  <si>
    <t>Anzahl Impfungen nach Indikation bis einschließlich 29.01.21 (Indik_bis_einschl_29.01.21)</t>
  </si>
  <si>
    <t xml:space="preserve">Die kumulative Zahl der Impfungen umfasst alle Impfungen, die bis einschließlich 29.01.21 durchgeführt und bis zum 30.01.21, 11:00 Uhr, dem RKI gemeldet wurden. Nachmeldungen aus zurückliegenden Tagen sind in der kumulativen Zahl der Impfungen enthalten. </t>
  </si>
  <si>
    <t>(Daten für den 29.01. ohne Westfalen-Lippe)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</si>
</sst>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wrapText="1"/>
    </xf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3" fontId="2" fillId="3" borderId="3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3" fontId="0" fillId="0" borderId="5" xfId="0" applyNumberFormat="1" applyBorder="1"/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0" fillId="0" borderId="5" xfId="0" applyBorder="1"/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right"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19">
    <queryTableFields count="7">
      <queryTableField id="2" name="Fälle kumulativ"/>
      <queryTableField id="18" dataBound="0" fillFormulas="1"/>
      <queryTableField id="17" dataBound="0" fillFormulas="1"/>
      <queryTableField id="3" name="Differenz Vortag"/>
      <queryTableField id="16" dataBound="0" fillFormulas="1"/>
      <queryTableField id="5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2"/>
  <sheetViews>
    <sheetView workbookViewId="0">
      <selection activeCell="A25" sqref="A25"/>
    </sheetView>
  </sheetViews>
  <sheetFormatPr baseColWidth="10" defaultColWidth="11.46484375" defaultRowHeight="14.25" x14ac:dyDescent="0.45"/>
  <cols>
    <col min="1" max="1" width="148.46484375" style="9" customWidth="1"/>
    <col min="2" max="16384" width="11.46484375" style="9"/>
  </cols>
  <sheetData>
    <row r="1" spans="1:3" x14ac:dyDescent="0.45">
      <c r="A1" s="39" t="s">
        <v>50</v>
      </c>
    </row>
    <row r="2" spans="1:3" x14ac:dyDescent="0.45">
      <c r="A2" s="41" t="s">
        <v>18</v>
      </c>
    </row>
    <row r="3" spans="1:3" x14ac:dyDescent="0.45">
      <c r="A3" s="41" t="s">
        <v>56</v>
      </c>
      <c r="B3" s="7"/>
      <c r="C3" s="8"/>
    </row>
    <row r="4" spans="1:3" x14ac:dyDescent="0.45">
      <c r="A4" s="41"/>
      <c r="B4" s="7"/>
      <c r="C4" s="8"/>
    </row>
    <row r="5" spans="1:3" x14ac:dyDescent="0.45">
      <c r="A5" s="45" t="s">
        <v>57</v>
      </c>
    </row>
    <row r="6" spans="1:3" ht="29.25" customHeight="1" x14ac:dyDescent="0.45">
      <c r="A6" s="44" t="s">
        <v>59</v>
      </c>
    </row>
    <row r="7" spans="1:3" x14ac:dyDescent="0.45">
      <c r="A7" s="41" t="s">
        <v>21</v>
      </c>
    </row>
    <row r="8" spans="1:3" x14ac:dyDescent="0.45">
      <c r="A8" s="41" t="s">
        <v>22</v>
      </c>
    </row>
    <row r="9" spans="1:3" s="42" customFormat="1" x14ac:dyDescent="0.45">
      <c r="A9" s="41"/>
    </row>
    <row r="10" spans="1:3" s="42" customFormat="1" x14ac:dyDescent="0.45">
      <c r="A10" s="41"/>
    </row>
    <row r="11" spans="1:3" x14ac:dyDescent="0.45">
      <c r="A11" s="45" t="s">
        <v>58</v>
      </c>
    </row>
    <row r="12" spans="1:3" ht="28.5" x14ac:dyDescent="0.45">
      <c r="A12" s="51" t="s">
        <v>55</v>
      </c>
    </row>
    <row r="13" spans="1:3" s="42" customFormat="1" x14ac:dyDescent="0.45">
      <c r="A13" s="40"/>
    </row>
    <row r="14" spans="1:3" x14ac:dyDescent="0.45">
      <c r="A14" s="41" t="s">
        <v>18</v>
      </c>
    </row>
    <row r="15" spans="1:3" x14ac:dyDescent="0.45">
      <c r="A15" s="45" t="s">
        <v>31</v>
      </c>
    </row>
    <row r="16" spans="1:3" ht="28.5" x14ac:dyDescent="0.45">
      <c r="A16" s="52" t="s">
        <v>32</v>
      </c>
    </row>
    <row r="17" spans="1:1" x14ac:dyDescent="0.45">
      <c r="A17" s="40"/>
    </row>
    <row r="18" spans="1:1" x14ac:dyDescent="0.45">
      <c r="A18" s="40"/>
    </row>
    <row r="19" spans="1:1" x14ac:dyDescent="0.45">
      <c r="A19" s="40" t="s">
        <v>30</v>
      </c>
    </row>
    <row r="20" spans="1:1" x14ac:dyDescent="0.45">
      <c r="A20" s="50" t="s">
        <v>52</v>
      </c>
    </row>
    <row r="21" spans="1:1" x14ac:dyDescent="0.45">
      <c r="A21" s="50" t="s">
        <v>53</v>
      </c>
    </row>
    <row r="22" spans="1:1" x14ac:dyDescent="0.45">
      <c r="A22" s="50" t="s">
        <v>54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K27"/>
  <sheetViews>
    <sheetView tabSelected="1" workbookViewId="0">
      <selection activeCell="K13" sqref="K13"/>
    </sheetView>
  </sheetViews>
  <sheetFormatPr baseColWidth="10" defaultRowHeight="14.25" x14ac:dyDescent="0.45"/>
  <cols>
    <col min="1" max="1" width="3.796875" customWidth="1"/>
    <col min="2" max="2" width="23.796875" customWidth="1"/>
    <col min="3" max="3" width="18.19921875" customWidth="1"/>
    <col min="4" max="5" width="11.46484375" style="9"/>
    <col min="7" max="7" width="12.19921875" style="9" customWidth="1"/>
    <col min="10" max="10" width="17" customWidth="1"/>
    <col min="11" max="11" width="25" customWidth="1"/>
  </cols>
  <sheetData>
    <row r="1" spans="1:11" x14ac:dyDescent="0.45">
      <c r="A1" s="56" t="s">
        <v>42</v>
      </c>
      <c r="B1" s="58" t="s">
        <v>16</v>
      </c>
      <c r="C1" s="69" t="s">
        <v>49</v>
      </c>
      <c r="D1" s="60" t="s">
        <v>44</v>
      </c>
      <c r="E1" s="61"/>
      <c r="F1" s="61"/>
      <c r="G1" s="61"/>
      <c r="H1" s="61"/>
      <c r="I1" s="60" t="s">
        <v>45</v>
      </c>
      <c r="J1" s="62"/>
    </row>
    <row r="2" spans="1:11" s="9" customFormat="1" ht="15" customHeight="1" x14ac:dyDescent="0.45">
      <c r="A2" s="56"/>
      <c r="B2" s="58"/>
      <c r="C2" s="69"/>
      <c r="D2" s="54" t="s">
        <v>20</v>
      </c>
      <c r="E2" s="55"/>
      <c r="F2" s="55"/>
      <c r="G2" s="67" t="s">
        <v>17</v>
      </c>
      <c r="H2" s="65" t="s">
        <v>48</v>
      </c>
      <c r="I2" s="63" t="s">
        <v>20</v>
      </c>
      <c r="J2" s="65" t="s">
        <v>17</v>
      </c>
    </row>
    <row r="3" spans="1:11" ht="16.5" customHeight="1" x14ac:dyDescent="0.45">
      <c r="A3" s="57"/>
      <c r="B3" s="59"/>
      <c r="C3" s="70"/>
      <c r="D3" s="27" t="s">
        <v>19</v>
      </c>
      <c r="E3" s="27" t="s">
        <v>47</v>
      </c>
      <c r="F3" s="27" t="s">
        <v>46</v>
      </c>
      <c r="G3" s="68"/>
      <c r="H3" s="66"/>
      <c r="I3" s="64"/>
      <c r="J3" s="66"/>
    </row>
    <row r="4" spans="1:11" x14ac:dyDescent="0.45">
      <c r="A4" s="13" t="s">
        <v>33</v>
      </c>
      <c r="B4" s="1" t="s">
        <v>1</v>
      </c>
      <c r="C4" s="35">
        <v>271908</v>
      </c>
      <c r="D4" s="17">
        <v>217101</v>
      </c>
      <c r="E4" s="17">
        <v>212738</v>
      </c>
      <c r="F4" s="17">
        <v>4363</v>
      </c>
      <c r="G4" s="17">
        <v>10289</v>
      </c>
      <c r="H4" s="34">
        <v>1.9557954429365298</v>
      </c>
      <c r="I4" s="30">
        <v>54807</v>
      </c>
      <c r="J4" s="21">
        <v>5676</v>
      </c>
    </row>
    <row r="5" spans="1:11" x14ac:dyDescent="0.45">
      <c r="A5" s="14" t="s">
        <v>34</v>
      </c>
      <c r="B5" s="2" t="s">
        <v>0</v>
      </c>
      <c r="C5" s="36">
        <v>409703</v>
      </c>
      <c r="D5" s="22">
        <v>313523</v>
      </c>
      <c r="E5" s="22">
        <v>303847</v>
      </c>
      <c r="F5" s="22">
        <v>9676</v>
      </c>
      <c r="G5" s="23">
        <v>10731</v>
      </c>
      <c r="H5" s="24">
        <v>2.3887945335590346</v>
      </c>
      <c r="I5" s="31">
        <v>96180</v>
      </c>
      <c r="J5" s="25">
        <v>3165</v>
      </c>
    </row>
    <row r="6" spans="1:11" x14ac:dyDescent="0.45">
      <c r="A6" s="13">
        <v>11</v>
      </c>
      <c r="B6" s="1" t="s">
        <v>3</v>
      </c>
      <c r="C6" s="35">
        <v>121590</v>
      </c>
      <c r="D6" s="17">
        <v>91948</v>
      </c>
      <c r="E6" s="17">
        <v>89606</v>
      </c>
      <c r="F6" s="17">
        <v>2342</v>
      </c>
      <c r="G6" s="18">
        <v>5088</v>
      </c>
      <c r="H6" s="19">
        <v>2.5057426220693824</v>
      </c>
      <c r="I6" s="30">
        <v>29642</v>
      </c>
      <c r="J6" s="21">
        <v>2632</v>
      </c>
    </row>
    <row r="7" spans="1:11" x14ac:dyDescent="0.45">
      <c r="A7" s="14">
        <v>12</v>
      </c>
      <c r="B7" s="2" t="s">
        <v>2</v>
      </c>
      <c r="C7" s="36">
        <v>86616</v>
      </c>
      <c r="D7" s="22">
        <v>73844</v>
      </c>
      <c r="E7" s="22">
        <v>73154</v>
      </c>
      <c r="F7" s="22">
        <v>690</v>
      </c>
      <c r="G7" s="23">
        <v>3222</v>
      </c>
      <c r="H7" s="24">
        <v>2.9281178860482977</v>
      </c>
      <c r="I7" s="31">
        <v>12772</v>
      </c>
      <c r="J7" s="25">
        <v>2139</v>
      </c>
      <c r="K7" s="42"/>
    </row>
    <row r="8" spans="1:11" x14ac:dyDescent="0.45">
      <c r="A8" s="13" t="s">
        <v>35</v>
      </c>
      <c r="B8" s="1" t="s">
        <v>4</v>
      </c>
      <c r="C8" s="35">
        <v>22652</v>
      </c>
      <c r="D8" s="17">
        <v>18525</v>
      </c>
      <c r="E8" s="17">
        <v>17268</v>
      </c>
      <c r="F8" s="17">
        <v>1257</v>
      </c>
      <c r="G8" s="18">
        <v>369</v>
      </c>
      <c r="H8" s="19">
        <v>2.7194576645400335</v>
      </c>
      <c r="I8" s="30">
        <v>4127</v>
      </c>
      <c r="J8" s="21">
        <v>278</v>
      </c>
    </row>
    <row r="9" spans="1:11" x14ac:dyDescent="0.45">
      <c r="A9" s="14" t="s">
        <v>36</v>
      </c>
      <c r="B9" s="2" t="s">
        <v>5</v>
      </c>
      <c r="C9" s="36">
        <v>53742</v>
      </c>
      <c r="D9" s="22">
        <v>44721</v>
      </c>
      <c r="E9" s="22">
        <v>44201</v>
      </c>
      <c r="F9" s="22">
        <v>520</v>
      </c>
      <c r="G9" s="23">
        <v>1596</v>
      </c>
      <c r="H9" s="24">
        <v>2.4209461291983287</v>
      </c>
      <c r="I9" s="31">
        <v>9021</v>
      </c>
      <c r="J9" s="25">
        <v>723</v>
      </c>
    </row>
    <row r="10" spans="1:11" x14ac:dyDescent="0.45">
      <c r="A10" s="13" t="s">
        <v>37</v>
      </c>
      <c r="B10" s="1" t="s">
        <v>15</v>
      </c>
      <c r="C10" s="35">
        <v>163787</v>
      </c>
      <c r="D10" s="17">
        <v>123833</v>
      </c>
      <c r="E10" s="17">
        <v>123833</v>
      </c>
      <c r="F10" s="17">
        <v>0</v>
      </c>
      <c r="G10" s="18">
        <v>4764</v>
      </c>
      <c r="H10" s="19">
        <v>1.9693292706199665</v>
      </c>
      <c r="I10" s="30">
        <v>39954</v>
      </c>
      <c r="J10" s="21">
        <v>2138</v>
      </c>
    </row>
    <row r="11" spans="1:11" x14ac:dyDescent="0.45">
      <c r="A11" s="14">
        <v>13</v>
      </c>
      <c r="B11" s="2" t="s">
        <v>6</v>
      </c>
      <c r="C11" s="37">
        <v>71235</v>
      </c>
      <c r="D11" s="22">
        <v>56274</v>
      </c>
      <c r="E11" s="22">
        <v>54609</v>
      </c>
      <c r="F11" s="22">
        <v>1665</v>
      </c>
      <c r="G11" s="23">
        <v>1276</v>
      </c>
      <c r="H11" s="24">
        <v>3.4993265503333668</v>
      </c>
      <c r="I11" s="31">
        <v>14961</v>
      </c>
      <c r="J11" s="25">
        <v>451</v>
      </c>
      <c r="K11" s="9"/>
    </row>
    <row r="12" spans="1:11" x14ac:dyDescent="0.45">
      <c r="A12" s="13" t="s">
        <v>38</v>
      </c>
      <c r="B12" s="1" t="s">
        <v>7</v>
      </c>
      <c r="C12" s="35">
        <v>188224</v>
      </c>
      <c r="D12" s="17">
        <v>147097</v>
      </c>
      <c r="E12" s="17">
        <v>145192</v>
      </c>
      <c r="F12" s="17">
        <v>1905</v>
      </c>
      <c r="G12" s="18">
        <v>3040</v>
      </c>
      <c r="H12" s="19">
        <v>1.8401828060620433</v>
      </c>
      <c r="I12" s="30">
        <v>41127</v>
      </c>
      <c r="J12" s="21">
        <v>8030</v>
      </c>
    </row>
    <row r="13" spans="1:11" x14ac:dyDescent="0.45">
      <c r="A13" s="14" t="s">
        <v>39</v>
      </c>
      <c r="B13" s="2" t="s">
        <v>8</v>
      </c>
      <c r="C13" s="36">
        <v>417588</v>
      </c>
      <c r="D13" s="22">
        <v>333232</v>
      </c>
      <c r="E13" s="22">
        <v>328367</v>
      </c>
      <c r="F13" s="22">
        <v>4865</v>
      </c>
      <c r="G13" s="23">
        <v>5290</v>
      </c>
      <c r="H13" s="24">
        <v>1.8567331399106304</v>
      </c>
      <c r="I13" s="31">
        <v>84356</v>
      </c>
      <c r="J13" s="25">
        <v>2734</v>
      </c>
      <c r="K13" s="42" t="s">
        <v>60</v>
      </c>
    </row>
    <row r="14" spans="1:11" x14ac:dyDescent="0.45">
      <c r="A14" s="13" t="s">
        <v>40</v>
      </c>
      <c r="B14" s="1" t="s">
        <v>12</v>
      </c>
      <c r="C14" s="35">
        <v>154950</v>
      </c>
      <c r="D14" s="17">
        <v>139931</v>
      </c>
      <c r="E14" s="17">
        <v>136126</v>
      </c>
      <c r="F14" s="17">
        <v>3805</v>
      </c>
      <c r="G14" s="18">
        <v>1148</v>
      </c>
      <c r="H14" s="19">
        <v>3.4180340862985763</v>
      </c>
      <c r="I14" s="30">
        <v>15019</v>
      </c>
      <c r="J14" s="21">
        <v>3761</v>
      </c>
    </row>
    <row r="15" spans="1:11" x14ac:dyDescent="0.45">
      <c r="A15" s="14">
        <v>10</v>
      </c>
      <c r="B15" s="2" t="s">
        <v>13</v>
      </c>
      <c r="C15" s="36">
        <v>28948</v>
      </c>
      <c r="D15" s="22">
        <v>21029</v>
      </c>
      <c r="E15" s="22">
        <v>20191</v>
      </c>
      <c r="F15" s="22">
        <v>838</v>
      </c>
      <c r="G15" s="23">
        <v>684</v>
      </c>
      <c r="H15" s="24">
        <v>2.1308417275736735</v>
      </c>
      <c r="I15" s="31">
        <v>7919</v>
      </c>
      <c r="J15" s="25">
        <v>862</v>
      </c>
      <c r="K15" s="42"/>
    </row>
    <row r="16" spans="1:11" x14ac:dyDescent="0.45">
      <c r="A16" s="13">
        <v>14</v>
      </c>
      <c r="B16" s="1" t="s">
        <v>9</v>
      </c>
      <c r="C16" s="35">
        <v>98250</v>
      </c>
      <c r="D16" s="17">
        <v>84339</v>
      </c>
      <c r="E16" s="17">
        <v>83411</v>
      </c>
      <c r="F16" s="17">
        <v>928</v>
      </c>
      <c r="G16" s="18">
        <v>2293</v>
      </c>
      <c r="H16" s="19">
        <v>2.0712082674459129</v>
      </c>
      <c r="I16" s="30">
        <v>13911</v>
      </c>
      <c r="J16" s="21">
        <v>1857</v>
      </c>
      <c r="K16" s="42"/>
    </row>
    <row r="17" spans="1:11" x14ac:dyDescent="0.45">
      <c r="A17" s="14">
        <v>15</v>
      </c>
      <c r="B17" s="2" t="s">
        <v>10</v>
      </c>
      <c r="C17" s="36">
        <v>68748</v>
      </c>
      <c r="D17" s="22">
        <v>49587</v>
      </c>
      <c r="E17" s="22">
        <v>49012</v>
      </c>
      <c r="F17" s="22">
        <v>575</v>
      </c>
      <c r="G17" s="23">
        <v>1359</v>
      </c>
      <c r="H17" s="24">
        <v>2.2593132256415442</v>
      </c>
      <c r="I17" s="31">
        <v>19161</v>
      </c>
      <c r="J17" s="25">
        <v>2147</v>
      </c>
    </row>
    <row r="18" spans="1:11" x14ac:dyDescent="0.45">
      <c r="A18" s="13" t="s">
        <v>41</v>
      </c>
      <c r="B18" s="1" t="s">
        <v>11</v>
      </c>
      <c r="C18" s="35">
        <v>99217</v>
      </c>
      <c r="D18" s="17">
        <v>89431</v>
      </c>
      <c r="E18" s="17">
        <v>89033</v>
      </c>
      <c r="F18" s="17">
        <v>398</v>
      </c>
      <c r="G18" s="18">
        <v>964</v>
      </c>
      <c r="H18" s="19">
        <v>3.0798206333621807</v>
      </c>
      <c r="I18" s="30">
        <v>9786</v>
      </c>
      <c r="J18" s="21">
        <v>2250</v>
      </c>
      <c r="K18" s="42"/>
    </row>
    <row r="19" spans="1:11" x14ac:dyDescent="0.45">
      <c r="A19" s="14">
        <v>16</v>
      </c>
      <c r="B19" s="2" t="s">
        <v>14</v>
      </c>
      <c r="C19" s="36">
        <v>60000</v>
      </c>
      <c r="D19" s="22">
        <v>51042</v>
      </c>
      <c r="E19" s="22">
        <v>51042</v>
      </c>
      <c r="F19" s="22">
        <v>0</v>
      </c>
      <c r="G19" s="23">
        <v>2117</v>
      </c>
      <c r="H19" s="24">
        <v>2.3925436561172</v>
      </c>
      <c r="I19" s="31">
        <v>8958</v>
      </c>
      <c r="J19" s="25">
        <v>1221</v>
      </c>
    </row>
    <row r="20" spans="1:11" x14ac:dyDescent="0.45">
      <c r="A20" s="6"/>
      <c r="B20" s="3" t="s">
        <v>19</v>
      </c>
      <c r="C20" s="38">
        <f>D20+I20</f>
        <v>2317158</v>
      </c>
      <c r="D20" s="6">
        <f>SUM(D4:D19)</f>
        <v>1855457</v>
      </c>
      <c r="E20" s="6">
        <f>SUM(E4:E19)</f>
        <v>1821630</v>
      </c>
      <c r="F20" s="6">
        <f>SUM(F4:F19)</f>
        <v>33827</v>
      </c>
      <c r="G20" s="6">
        <f>SUM(G4:G19)</f>
        <v>54230</v>
      </c>
      <c r="H20" s="10">
        <f>D20/83166711*100</f>
        <v>2.2310092315662211</v>
      </c>
      <c r="I20" s="29">
        <f>SUM(I4:I19)</f>
        <v>461701</v>
      </c>
      <c r="J20" s="32">
        <f>SUM(J4:J19)</f>
        <v>40064</v>
      </c>
    </row>
    <row r="22" spans="1:11" s="42" customFormat="1" ht="14.25" customHeight="1" x14ac:dyDescent="0.45">
      <c r="A22" s="42" t="s">
        <v>43</v>
      </c>
    </row>
    <row r="23" spans="1:11" x14ac:dyDescent="0.45">
      <c r="D23" s="15"/>
    </row>
    <row r="27" spans="1:11" x14ac:dyDescent="0.45">
      <c r="C27" s="33"/>
    </row>
  </sheetData>
  <mergeCells count="10">
    <mergeCell ref="D2:F2"/>
    <mergeCell ref="A1:A3"/>
    <mergeCell ref="B1:B3"/>
    <mergeCell ref="D1:H1"/>
    <mergeCell ref="I1:J1"/>
    <mergeCell ref="I2:I3"/>
    <mergeCell ref="H2:H3"/>
    <mergeCell ref="G2:G3"/>
    <mergeCell ref="J2:J3"/>
    <mergeCell ref="C1:C3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H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topLeftCell="C1" workbookViewId="0">
      <selection activeCell="K12" sqref="K12"/>
    </sheetView>
  </sheetViews>
  <sheetFormatPr baseColWidth="10" defaultColWidth="11.46484375" defaultRowHeight="14.25" x14ac:dyDescent="0.45"/>
  <cols>
    <col min="1" max="1" width="3.19921875" style="9" customWidth="1"/>
    <col min="2" max="2" width="23.19921875" style="9" customWidth="1"/>
    <col min="3" max="4" width="11.46484375" style="9"/>
    <col min="5" max="5" width="12.796875" style="9" customWidth="1"/>
    <col min="6" max="6" width="13" style="9" customWidth="1"/>
    <col min="7" max="8" width="11.46484375" style="9"/>
    <col min="9" max="9" width="13.19921875" style="9" customWidth="1"/>
    <col min="10" max="10" width="14.19921875" style="9" customWidth="1"/>
    <col min="11" max="11" width="56.46484375" style="9" bestFit="1" customWidth="1"/>
    <col min="12" max="16384" width="11.46484375" style="9"/>
  </cols>
  <sheetData>
    <row r="1" spans="1:11" x14ac:dyDescent="0.45">
      <c r="A1" s="73" t="s">
        <v>42</v>
      </c>
      <c r="B1" s="58" t="s">
        <v>16</v>
      </c>
      <c r="C1" s="71" t="s">
        <v>44</v>
      </c>
      <c r="D1" s="72"/>
      <c r="E1" s="72"/>
      <c r="F1" s="72"/>
      <c r="G1" s="71" t="s">
        <v>45</v>
      </c>
      <c r="H1" s="72"/>
      <c r="I1" s="72"/>
      <c r="J1" s="72"/>
    </row>
    <row r="2" spans="1:11" ht="31.5" customHeight="1" x14ac:dyDescent="0.45">
      <c r="A2" s="74"/>
      <c r="B2" s="59"/>
      <c r="C2" s="27" t="s">
        <v>23</v>
      </c>
      <c r="D2" s="27" t="s">
        <v>24</v>
      </c>
      <c r="E2" s="27" t="s">
        <v>25</v>
      </c>
      <c r="F2" s="28" t="s">
        <v>26</v>
      </c>
      <c r="G2" s="27" t="s">
        <v>23</v>
      </c>
      <c r="H2" s="27" t="s">
        <v>24</v>
      </c>
      <c r="I2" s="27" t="s">
        <v>25</v>
      </c>
      <c r="J2" s="28" t="s">
        <v>26</v>
      </c>
    </row>
    <row r="3" spans="1:11" x14ac:dyDescent="0.45">
      <c r="A3" s="13" t="s">
        <v>33</v>
      </c>
      <c r="B3" s="1" t="s">
        <v>1</v>
      </c>
      <c r="C3" s="20">
        <v>126225</v>
      </c>
      <c r="D3" s="18">
        <v>72290</v>
      </c>
      <c r="E3" s="18">
        <v>7096</v>
      </c>
      <c r="F3" s="21">
        <v>41822</v>
      </c>
      <c r="G3" s="20">
        <v>31093</v>
      </c>
      <c r="H3" s="18">
        <v>18223</v>
      </c>
      <c r="I3" s="18">
        <v>943</v>
      </c>
      <c r="J3" s="21">
        <v>9241</v>
      </c>
    </row>
    <row r="4" spans="1:11" x14ac:dyDescent="0.45">
      <c r="A4" s="14" t="s">
        <v>34</v>
      </c>
      <c r="B4" s="2" t="s">
        <v>0</v>
      </c>
      <c r="C4" s="26">
        <v>113482</v>
      </c>
      <c r="D4" s="23">
        <v>159895</v>
      </c>
      <c r="E4" s="23">
        <v>6582</v>
      </c>
      <c r="F4" s="25">
        <v>86020</v>
      </c>
      <c r="G4" s="26">
        <v>34542</v>
      </c>
      <c r="H4" s="23">
        <v>48895</v>
      </c>
      <c r="I4" s="23">
        <v>1188</v>
      </c>
      <c r="J4" s="25">
        <v>33946</v>
      </c>
    </row>
    <row r="5" spans="1:11" x14ac:dyDescent="0.45">
      <c r="A5" s="13">
        <v>11</v>
      </c>
      <c r="B5" s="1" t="s">
        <v>3</v>
      </c>
      <c r="C5" s="20">
        <v>65564</v>
      </c>
      <c r="D5" s="18">
        <v>23607</v>
      </c>
      <c r="E5" s="18">
        <v>108</v>
      </c>
      <c r="F5" s="21">
        <v>32679</v>
      </c>
      <c r="G5" s="20">
        <v>19979</v>
      </c>
      <c r="H5" s="18">
        <v>7850</v>
      </c>
      <c r="I5" s="18">
        <v>28</v>
      </c>
      <c r="J5" s="21">
        <v>19309</v>
      </c>
    </row>
    <row r="6" spans="1:11" x14ac:dyDescent="0.45">
      <c r="A6" s="14">
        <v>12</v>
      </c>
      <c r="B6" s="2" t="s">
        <v>2</v>
      </c>
      <c r="C6" s="26">
        <v>31554</v>
      </c>
      <c r="D6" s="23">
        <v>38952</v>
      </c>
      <c r="E6" s="23">
        <v>1068</v>
      </c>
      <c r="F6" s="25">
        <v>16268</v>
      </c>
      <c r="G6" s="26">
        <v>754</v>
      </c>
      <c r="H6" s="23">
        <v>12014</v>
      </c>
      <c r="I6" s="23">
        <v>1</v>
      </c>
      <c r="J6" s="25">
        <v>754</v>
      </c>
    </row>
    <row r="7" spans="1:11" x14ac:dyDescent="0.45">
      <c r="A7" s="13" t="s">
        <v>35</v>
      </c>
      <c r="B7" s="1" t="s">
        <v>4</v>
      </c>
      <c r="C7" s="20">
        <v>7852</v>
      </c>
      <c r="D7" s="18">
        <v>7764</v>
      </c>
      <c r="E7" s="18">
        <v>137</v>
      </c>
      <c r="F7" s="21">
        <v>6387</v>
      </c>
      <c r="G7" s="20">
        <v>1409</v>
      </c>
      <c r="H7" s="18">
        <v>1689</v>
      </c>
      <c r="I7" s="18">
        <v>21</v>
      </c>
      <c r="J7" s="21">
        <v>1571</v>
      </c>
    </row>
    <row r="8" spans="1:11" x14ac:dyDescent="0.45">
      <c r="A8" s="14" t="s">
        <v>36</v>
      </c>
      <c r="B8" s="2" t="s">
        <v>5</v>
      </c>
      <c r="C8" s="26">
        <v>16898</v>
      </c>
      <c r="D8" s="23">
        <v>22220</v>
      </c>
      <c r="E8" s="23">
        <v>1838</v>
      </c>
      <c r="F8" s="25">
        <v>11187</v>
      </c>
      <c r="G8" s="26">
        <v>2641</v>
      </c>
      <c r="H8" s="23">
        <v>5730</v>
      </c>
      <c r="I8" s="23">
        <v>105</v>
      </c>
      <c r="J8" s="25">
        <v>2353</v>
      </c>
    </row>
    <row r="9" spans="1:11" x14ac:dyDescent="0.45">
      <c r="A9" s="13" t="s">
        <v>37</v>
      </c>
      <c r="B9" s="1" t="s">
        <v>15</v>
      </c>
      <c r="C9" s="20">
        <v>50192</v>
      </c>
      <c r="D9" s="18">
        <v>56303</v>
      </c>
      <c r="E9" s="18">
        <v>4895</v>
      </c>
      <c r="F9" s="21">
        <v>35601</v>
      </c>
      <c r="G9" s="20">
        <v>8954</v>
      </c>
      <c r="H9" s="18">
        <v>22282</v>
      </c>
      <c r="I9" s="18">
        <v>3393</v>
      </c>
      <c r="J9" s="21">
        <v>14682</v>
      </c>
    </row>
    <row r="10" spans="1:11" x14ac:dyDescent="0.45">
      <c r="A10" s="14">
        <v>13</v>
      </c>
      <c r="B10" s="2" t="s">
        <v>6</v>
      </c>
      <c r="C10" s="26">
        <v>10559</v>
      </c>
      <c r="D10" s="23">
        <v>24768</v>
      </c>
      <c r="E10" s="23">
        <v>1205</v>
      </c>
      <c r="F10" s="25">
        <v>20395</v>
      </c>
      <c r="G10" s="26">
        <v>1318</v>
      </c>
      <c r="H10" s="23">
        <v>987</v>
      </c>
      <c r="I10" s="23">
        <v>0</v>
      </c>
      <c r="J10" s="25">
        <v>0</v>
      </c>
    </row>
    <row r="11" spans="1:11" x14ac:dyDescent="0.45">
      <c r="A11" s="13" t="s">
        <v>38</v>
      </c>
      <c r="B11" s="1" t="s">
        <v>7</v>
      </c>
      <c r="C11" s="20">
        <v>28305</v>
      </c>
      <c r="D11" s="18">
        <v>81151</v>
      </c>
      <c r="E11" s="18">
        <v>23021</v>
      </c>
      <c r="F11" s="21">
        <v>63814</v>
      </c>
      <c r="G11" s="20">
        <v>8984</v>
      </c>
      <c r="H11" s="18">
        <v>20128</v>
      </c>
      <c r="I11" s="18">
        <v>7663</v>
      </c>
      <c r="J11" s="21">
        <v>19731</v>
      </c>
    </row>
    <row r="12" spans="1:11" x14ac:dyDescent="0.45">
      <c r="A12" s="14" t="s">
        <v>39</v>
      </c>
      <c r="B12" s="2" t="s">
        <v>8</v>
      </c>
      <c r="C12" s="26">
        <v>0</v>
      </c>
      <c r="D12" s="23">
        <v>180131</v>
      </c>
      <c r="E12" s="23">
        <v>0</v>
      </c>
      <c r="F12" s="25">
        <v>153129</v>
      </c>
      <c r="G12" s="26">
        <v>0</v>
      </c>
      <c r="H12" s="23">
        <v>42631</v>
      </c>
      <c r="I12" s="23">
        <v>0</v>
      </c>
      <c r="J12" s="25">
        <v>41793</v>
      </c>
      <c r="K12" s="9" t="s">
        <v>60</v>
      </c>
    </row>
    <row r="13" spans="1:11" x14ac:dyDescent="0.45">
      <c r="A13" s="13" t="s">
        <v>40</v>
      </c>
      <c r="B13" s="1" t="s">
        <v>12</v>
      </c>
      <c r="C13" s="20">
        <v>52078</v>
      </c>
      <c r="D13" s="18">
        <v>55866</v>
      </c>
      <c r="E13" s="18">
        <v>86</v>
      </c>
      <c r="F13" s="21">
        <v>31901</v>
      </c>
      <c r="G13" s="20">
        <v>4255</v>
      </c>
      <c r="H13" s="18">
        <v>7656</v>
      </c>
      <c r="I13" s="18">
        <v>15</v>
      </c>
      <c r="J13" s="21">
        <v>3093</v>
      </c>
    </row>
    <row r="14" spans="1:11" x14ac:dyDescent="0.45">
      <c r="A14" s="14">
        <v>10</v>
      </c>
      <c r="B14" s="2" t="s">
        <v>13</v>
      </c>
      <c r="C14" s="26">
        <v>13922</v>
      </c>
      <c r="D14" s="23">
        <v>5510</v>
      </c>
      <c r="E14" s="23">
        <v>1</v>
      </c>
      <c r="F14" s="25">
        <v>5700</v>
      </c>
      <c r="G14" s="26">
        <v>6029</v>
      </c>
      <c r="H14" s="23">
        <v>1011</v>
      </c>
      <c r="I14" s="23">
        <v>0</v>
      </c>
      <c r="J14" s="25">
        <v>2715</v>
      </c>
    </row>
    <row r="15" spans="1:11" x14ac:dyDescent="0.45">
      <c r="A15" s="13">
        <v>14</v>
      </c>
      <c r="B15" s="1" t="s">
        <v>9</v>
      </c>
      <c r="C15" s="20">
        <v>9337</v>
      </c>
      <c r="D15" s="18">
        <v>57784</v>
      </c>
      <c r="E15" s="18">
        <v>456</v>
      </c>
      <c r="F15" s="21">
        <v>22307</v>
      </c>
      <c r="G15" s="20">
        <v>892</v>
      </c>
      <c r="H15" s="18">
        <v>10902</v>
      </c>
      <c r="I15" s="18">
        <v>8</v>
      </c>
      <c r="J15" s="21">
        <v>2237</v>
      </c>
    </row>
    <row r="16" spans="1:11" x14ac:dyDescent="0.45">
      <c r="A16" s="14">
        <v>15</v>
      </c>
      <c r="B16" s="2" t="s">
        <v>10</v>
      </c>
      <c r="C16" s="26">
        <v>16569</v>
      </c>
      <c r="D16" s="23">
        <v>24824</v>
      </c>
      <c r="E16" s="23">
        <v>2094</v>
      </c>
      <c r="F16" s="25">
        <v>17748</v>
      </c>
      <c r="G16" s="26">
        <v>6127</v>
      </c>
      <c r="H16" s="23">
        <v>9758</v>
      </c>
      <c r="I16" s="23">
        <v>1302</v>
      </c>
      <c r="J16" s="25">
        <v>8475</v>
      </c>
    </row>
    <row r="17" spans="1:11" x14ac:dyDescent="0.45">
      <c r="A17" s="13" t="s">
        <v>41</v>
      </c>
      <c r="B17" s="1" t="s">
        <v>11</v>
      </c>
      <c r="C17" s="20">
        <v>26277</v>
      </c>
      <c r="D17" s="18">
        <v>26953</v>
      </c>
      <c r="E17" s="18">
        <v>6128</v>
      </c>
      <c r="F17" s="21">
        <v>22822</v>
      </c>
      <c r="G17" s="20">
        <v>5468</v>
      </c>
      <c r="H17" s="18">
        <v>2123</v>
      </c>
      <c r="I17" s="18">
        <v>1063</v>
      </c>
      <c r="J17" s="21">
        <v>1877</v>
      </c>
      <c r="K17" s="42"/>
    </row>
    <row r="18" spans="1:11" x14ac:dyDescent="0.45">
      <c r="A18" s="14">
        <v>16</v>
      </c>
      <c r="B18" s="2" t="s">
        <v>14</v>
      </c>
      <c r="C18" s="23">
        <v>18698</v>
      </c>
      <c r="D18" s="23">
        <v>9593</v>
      </c>
      <c r="E18" s="23">
        <v>2039</v>
      </c>
      <c r="F18" s="25">
        <v>6613</v>
      </c>
      <c r="G18" s="23">
        <v>1050</v>
      </c>
      <c r="H18" s="23">
        <v>7281</v>
      </c>
      <c r="I18" s="23">
        <v>65</v>
      </c>
      <c r="J18" s="25">
        <v>667</v>
      </c>
    </row>
    <row r="19" spans="1:11" x14ac:dyDescent="0.45">
      <c r="A19" s="6"/>
      <c r="B19" s="3" t="s">
        <v>19</v>
      </c>
      <c r="C19" s="4">
        <f>SUM(C3:C18)</f>
        <v>587512</v>
      </c>
      <c r="D19" s="5">
        <f t="shared" ref="D19:J19" si="0">SUM(D3:D18)</f>
        <v>847611</v>
      </c>
      <c r="E19" s="5">
        <f t="shared" si="0"/>
        <v>56754</v>
      </c>
      <c r="F19" s="11">
        <f t="shared" si="0"/>
        <v>574393</v>
      </c>
      <c r="G19" s="4">
        <f t="shared" si="0"/>
        <v>133495</v>
      </c>
      <c r="H19" s="5">
        <f t="shared" si="0"/>
        <v>219160</v>
      </c>
      <c r="I19" s="5">
        <f t="shared" si="0"/>
        <v>15795</v>
      </c>
      <c r="J19" s="11">
        <f t="shared" si="0"/>
        <v>162444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39"/>
  <sheetViews>
    <sheetView topLeftCell="A25" workbookViewId="0">
      <selection activeCell="C39" sqref="C39"/>
    </sheetView>
  </sheetViews>
  <sheetFormatPr baseColWidth="10" defaultRowHeight="14.25" x14ac:dyDescent="0.45"/>
  <cols>
    <col min="1" max="1" width="13.46484375" customWidth="1"/>
    <col min="2" max="2" width="13" customWidth="1"/>
    <col min="3" max="3" width="13.46484375" customWidth="1"/>
    <col min="4" max="4" width="16.19921875" customWidth="1"/>
  </cols>
  <sheetData>
    <row r="1" spans="1:4" ht="46.5" customHeight="1" x14ac:dyDescent="0.45">
      <c r="A1" s="48" t="s">
        <v>29</v>
      </c>
      <c r="B1" s="12" t="s">
        <v>44</v>
      </c>
      <c r="C1" s="12" t="s">
        <v>45</v>
      </c>
      <c r="D1" s="46" t="s">
        <v>51</v>
      </c>
    </row>
    <row r="2" spans="1:4" x14ac:dyDescent="0.45">
      <c r="A2" s="49">
        <v>44192</v>
      </c>
      <c r="B2" s="43">
        <v>24258</v>
      </c>
      <c r="C2" s="47">
        <v>0</v>
      </c>
      <c r="D2" s="47">
        <v>24258</v>
      </c>
    </row>
    <row r="3" spans="1:4" x14ac:dyDescent="0.45">
      <c r="A3" s="49">
        <v>44193</v>
      </c>
      <c r="B3" s="43">
        <v>19838</v>
      </c>
      <c r="C3" s="47">
        <v>0</v>
      </c>
      <c r="D3" s="47">
        <v>19838</v>
      </c>
    </row>
    <row r="4" spans="1:4" x14ac:dyDescent="0.45">
      <c r="A4" s="49">
        <v>44194</v>
      </c>
      <c r="B4" s="43">
        <v>43378</v>
      </c>
      <c r="C4" s="47">
        <v>0</v>
      </c>
      <c r="D4" s="47">
        <v>43378</v>
      </c>
    </row>
    <row r="5" spans="1:4" x14ac:dyDescent="0.45">
      <c r="A5" s="49">
        <v>44195</v>
      </c>
      <c r="B5" s="43">
        <v>58068</v>
      </c>
      <c r="C5" s="47">
        <v>0</v>
      </c>
      <c r="D5" s="47">
        <v>58068</v>
      </c>
    </row>
    <row r="6" spans="1:4" x14ac:dyDescent="0.45">
      <c r="A6" s="49">
        <v>44196</v>
      </c>
      <c r="B6" s="43">
        <v>38511</v>
      </c>
      <c r="C6" s="47">
        <v>0</v>
      </c>
      <c r="D6" s="47">
        <v>38511</v>
      </c>
    </row>
    <row r="7" spans="1:4" x14ac:dyDescent="0.45">
      <c r="A7" s="49">
        <v>44197</v>
      </c>
      <c r="B7" s="43">
        <v>24435</v>
      </c>
      <c r="C7" s="47">
        <v>0</v>
      </c>
      <c r="D7" s="47">
        <v>24435</v>
      </c>
    </row>
    <row r="8" spans="1:4" x14ac:dyDescent="0.45">
      <c r="A8" s="49">
        <v>44198</v>
      </c>
      <c r="B8" s="43">
        <v>51232</v>
      </c>
      <c r="C8" s="47">
        <v>0</v>
      </c>
      <c r="D8" s="47">
        <v>51232</v>
      </c>
    </row>
    <row r="9" spans="1:4" x14ac:dyDescent="0.45">
      <c r="A9" s="49">
        <v>44199</v>
      </c>
      <c r="B9" s="43">
        <v>24822</v>
      </c>
      <c r="C9" s="47">
        <v>0</v>
      </c>
      <c r="D9" s="47">
        <v>24822</v>
      </c>
    </row>
    <row r="10" spans="1:4" x14ac:dyDescent="0.45">
      <c r="A10" s="49">
        <v>44200</v>
      </c>
      <c r="B10" s="43">
        <v>48832</v>
      </c>
      <c r="C10" s="47">
        <v>0</v>
      </c>
      <c r="D10" s="47">
        <v>48832</v>
      </c>
    </row>
    <row r="11" spans="1:4" x14ac:dyDescent="0.45">
      <c r="A11" s="49">
        <v>44201</v>
      </c>
      <c r="B11" s="43">
        <v>51588</v>
      </c>
      <c r="C11" s="47">
        <v>0</v>
      </c>
      <c r="D11" s="47">
        <v>51588</v>
      </c>
    </row>
    <row r="12" spans="1:4" x14ac:dyDescent="0.45">
      <c r="A12" s="49">
        <v>44202</v>
      </c>
      <c r="B12" s="43">
        <v>56764</v>
      </c>
      <c r="C12" s="47">
        <v>0</v>
      </c>
      <c r="D12" s="47">
        <v>56764</v>
      </c>
    </row>
    <row r="13" spans="1:4" x14ac:dyDescent="0.45">
      <c r="A13" s="49">
        <v>44203</v>
      </c>
      <c r="B13" s="43">
        <v>58074</v>
      </c>
      <c r="C13" s="47">
        <v>0</v>
      </c>
      <c r="D13" s="47">
        <v>58074</v>
      </c>
    </row>
    <row r="14" spans="1:4" x14ac:dyDescent="0.45">
      <c r="A14" s="49">
        <v>44204</v>
      </c>
      <c r="B14" s="43">
        <v>59345</v>
      </c>
      <c r="C14" s="47">
        <v>0</v>
      </c>
      <c r="D14" s="47">
        <v>59345</v>
      </c>
    </row>
    <row r="15" spans="1:4" x14ac:dyDescent="0.45">
      <c r="A15" s="49">
        <v>44205</v>
      </c>
      <c r="B15" s="43">
        <v>54562</v>
      </c>
      <c r="C15" s="47">
        <v>0</v>
      </c>
      <c r="D15" s="47">
        <v>54562</v>
      </c>
    </row>
    <row r="16" spans="1:4" x14ac:dyDescent="0.45">
      <c r="A16" s="49">
        <v>44206</v>
      </c>
      <c r="B16" s="43">
        <v>32680</v>
      </c>
      <c r="C16" s="47">
        <v>0</v>
      </c>
      <c r="D16" s="47">
        <v>32680</v>
      </c>
    </row>
    <row r="17" spans="1:4" x14ac:dyDescent="0.45">
      <c r="A17" s="49">
        <v>44207</v>
      </c>
      <c r="B17" s="43">
        <v>65811</v>
      </c>
      <c r="C17" s="47">
        <v>0</v>
      </c>
      <c r="D17" s="47">
        <v>65811</v>
      </c>
    </row>
    <row r="18" spans="1:4" x14ac:dyDescent="0.45">
      <c r="A18" s="49">
        <v>44208</v>
      </c>
      <c r="B18" s="43">
        <v>80808</v>
      </c>
      <c r="C18" s="47">
        <v>0</v>
      </c>
      <c r="D18" s="47">
        <v>80808</v>
      </c>
    </row>
    <row r="19" spans="1:4" x14ac:dyDescent="0.45">
      <c r="A19" s="49">
        <v>44209</v>
      </c>
      <c r="B19" s="43">
        <v>95287</v>
      </c>
      <c r="C19" s="47">
        <v>0</v>
      </c>
      <c r="D19" s="47">
        <v>95287</v>
      </c>
    </row>
    <row r="20" spans="1:4" x14ac:dyDescent="0.45">
      <c r="A20" s="49">
        <v>44210</v>
      </c>
      <c r="B20" s="43">
        <v>100039</v>
      </c>
      <c r="C20" s="47">
        <v>0</v>
      </c>
      <c r="D20" s="47">
        <v>100039</v>
      </c>
    </row>
    <row r="21" spans="1:4" x14ac:dyDescent="0.45">
      <c r="A21" s="49">
        <v>44211</v>
      </c>
      <c r="B21" s="43">
        <v>91644</v>
      </c>
      <c r="C21" s="47">
        <v>444</v>
      </c>
      <c r="D21" s="47">
        <v>92088</v>
      </c>
    </row>
    <row r="22" spans="1:4" x14ac:dyDescent="0.45">
      <c r="A22" s="49">
        <v>44212</v>
      </c>
      <c r="B22" s="43">
        <v>55246</v>
      </c>
      <c r="C22" s="47">
        <v>510</v>
      </c>
      <c r="D22" s="47">
        <v>55756</v>
      </c>
    </row>
    <row r="23" spans="1:4" x14ac:dyDescent="0.45">
      <c r="A23" s="49">
        <v>44213</v>
      </c>
      <c r="B23" s="43">
        <v>30653</v>
      </c>
      <c r="C23" s="47">
        <v>14230</v>
      </c>
      <c r="D23" s="47">
        <v>44883</v>
      </c>
    </row>
    <row r="24" spans="1:4" x14ac:dyDescent="0.45">
      <c r="A24" s="49">
        <v>44214</v>
      </c>
      <c r="B24" s="43">
        <v>57159</v>
      </c>
      <c r="C24" s="47">
        <v>16577</v>
      </c>
      <c r="D24" s="47">
        <v>73736</v>
      </c>
    </row>
    <row r="25" spans="1:4" x14ac:dyDescent="0.45">
      <c r="A25" s="49">
        <v>44215</v>
      </c>
      <c r="B25" s="43">
        <v>65031</v>
      </c>
      <c r="C25" s="47">
        <v>27333</v>
      </c>
      <c r="D25" s="47">
        <v>92364</v>
      </c>
    </row>
    <row r="26" spans="1:4" x14ac:dyDescent="0.45">
      <c r="A26" s="49">
        <v>44216</v>
      </c>
      <c r="B26" s="43">
        <v>73796</v>
      </c>
      <c r="C26" s="47">
        <v>48338</v>
      </c>
      <c r="D26" s="47">
        <v>122134</v>
      </c>
    </row>
    <row r="27" spans="1:4" x14ac:dyDescent="0.45">
      <c r="A27" s="49">
        <v>44217</v>
      </c>
      <c r="B27" s="43">
        <v>58877</v>
      </c>
      <c r="C27" s="47">
        <v>34351</v>
      </c>
      <c r="D27" s="47">
        <v>93228</v>
      </c>
    </row>
    <row r="28" spans="1:4" x14ac:dyDescent="0.45">
      <c r="A28" s="49">
        <v>44218</v>
      </c>
      <c r="B28" s="43">
        <v>82444</v>
      </c>
      <c r="C28" s="47">
        <v>30440</v>
      </c>
      <c r="D28" s="47">
        <v>112884</v>
      </c>
    </row>
    <row r="29" spans="1:4" x14ac:dyDescent="0.45">
      <c r="A29" s="49">
        <v>44219</v>
      </c>
      <c r="B29" s="43">
        <v>47403</v>
      </c>
      <c r="C29" s="47">
        <v>40628</v>
      </c>
      <c r="D29" s="47">
        <v>88031</v>
      </c>
    </row>
    <row r="30" spans="1:4" x14ac:dyDescent="0.45">
      <c r="A30" s="49">
        <v>44220</v>
      </c>
      <c r="B30" s="43">
        <v>37641</v>
      </c>
      <c r="C30" s="47">
        <v>27978</v>
      </c>
      <c r="D30" s="47">
        <v>65619</v>
      </c>
    </row>
    <row r="31" spans="1:4" x14ac:dyDescent="0.45">
      <c r="A31" s="49">
        <v>44221</v>
      </c>
      <c r="B31" s="53">
        <v>56848</v>
      </c>
      <c r="C31" s="53">
        <v>38383</v>
      </c>
      <c r="D31" s="53">
        <v>95231</v>
      </c>
    </row>
    <row r="32" spans="1:4" x14ac:dyDescent="0.45">
      <c r="A32" s="49">
        <v>44222</v>
      </c>
      <c r="B32" s="53">
        <v>52593</v>
      </c>
      <c r="C32" s="53">
        <v>46922</v>
      </c>
      <c r="D32" s="53">
        <v>99515</v>
      </c>
    </row>
    <row r="33" spans="1:4" x14ac:dyDescent="0.45">
      <c r="A33" s="49">
        <v>44223</v>
      </c>
      <c r="B33" s="53">
        <v>52591</v>
      </c>
      <c r="C33" s="53">
        <v>50307</v>
      </c>
      <c r="D33" s="53">
        <v>102898</v>
      </c>
    </row>
    <row r="34" spans="1:4" x14ac:dyDescent="0.45">
      <c r="A34" s="49">
        <v>44224</v>
      </c>
      <c r="B34">
        <v>50969</v>
      </c>
      <c r="C34">
        <v>45196</v>
      </c>
      <c r="D34">
        <v>96165</v>
      </c>
    </row>
    <row r="35" spans="1:4" x14ac:dyDescent="0.45">
      <c r="A35" s="49">
        <v>44225</v>
      </c>
      <c r="B35">
        <v>54230</v>
      </c>
      <c r="C35">
        <v>40064</v>
      </c>
      <c r="D35">
        <v>94294</v>
      </c>
    </row>
    <row r="39" spans="1:4" x14ac:dyDescent="0.45">
      <c r="A39" s="16" t="s">
        <v>19</v>
      </c>
      <c r="B39" s="15">
        <f>SUM(B2:B35)</f>
        <v>1855457</v>
      </c>
      <c r="C39" s="15">
        <f t="shared" ref="C39" si="0">SUM(C2:C35)</f>
        <v>461701</v>
      </c>
      <c r="D39" s="15">
        <f>SUM(D2:D35)</f>
        <v>2317158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Gesamt_bis_einschl_29.01.21</vt:lpstr>
      <vt:lpstr>Indik_bis_einschl_29.01.</vt:lpstr>
      <vt:lpstr>Impfungen_proTag</vt:lpstr>
      <vt:lpstr>Indik_bis_einschl_29.01.!Bundesländer001</vt:lpstr>
      <vt:lpstr>Gesamt_bis_einschl_29.01.21!Bundesländer001_1</vt:lpstr>
      <vt:lpstr>Indik_bis_einschl_29.01.!Bundesländer001_1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2021-01-30T10:11:28Z</dcterms:created>
  <dcterms:modified xsi:type="dcterms:W3CDTF">2021-01-30T13:18:55Z</dcterms:modified>
</cp:coreProperties>
</file>